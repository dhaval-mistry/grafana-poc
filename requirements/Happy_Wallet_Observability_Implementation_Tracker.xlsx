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de\grafana-poc\requirements\"/>
    </mc:Choice>
  </mc:AlternateContent>
  <xr:revisionPtr revIDLastSave="0" documentId="13_ncr:1_{F48663F1-EFDD-495D-B280-0E21ABA3CC4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Implementation Tracker" sheetId="1" r:id="rId1"/>
    <sheet name="Telemetry Contract" sheetId="2" r:id="rId2"/>
    <sheet name="Dashboard Plan" sheetId="3" r:id="rId3"/>
    <sheet name="Milestones &amp; DoD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5" l="1"/>
  <c r="E13" i="5"/>
  <c r="E12" i="5"/>
  <c r="E11" i="5"/>
  <c r="E8" i="5"/>
  <c r="E7" i="5"/>
  <c r="E6" i="5"/>
  <c r="E5" i="5"/>
  <c r="E4" i="5"/>
</calcChain>
</file>

<file path=xl/sharedStrings.xml><?xml version="1.0" encoding="utf-8"?>
<sst xmlns="http://schemas.openxmlformats.org/spreadsheetml/2006/main" count="664" uniqueCount="504">
  <si>
    <t>Happy Wallet Bank - Frontend OpenTelemetry End-to-End Implementation Tracker</t>
  </si>
  <si>
    <t>Scope: React + FastAPI + PostgreSQL + Grafana Alloy + Loki/Tempo/Prometheus + Grafana dashboards. Goal: trace customer journeys with a business correlation ID, technical trace/span IDs, safe logs, metrics, and drill-down dashboards without PII/NPI leakage.</t>
  </si>
  <si>
    <t>ID</t>
  </si>
  <si>
    <t>Phase</t>
  </si>
  <si>
    <t>Area</t>
  </si>
  <si>
    <t>Priority</t>
  </si>
  <si>
    <t>User Story / Outcome</t>
  </si>
  <si>
    <t>Implementation Task</t>
  </si>
  <si>
    <t>Primary Component / File</t>
  </si>
  <si>
    <t>Dependencies</t>
  </si>
  <si>
    <t>Acceptance Criteria</t>
  </si>
  <si>
    <t>Validation / Test</t>
  </si>
  <si>
    <t>Status</t>
  </si>
  <si>
    <t>Notes / Decision</t>
  </si>
  <si>
    <t>Owner</t>
  </si>
  <si>
    <t>OBS-001</t>
  </si>
  <si>
    <t>Foundation</t>
  </si>
  <si>
    <t>Cross-cutting</t>
  </si>
  <si>
    <t>High</t>
  </si>
  <si>
    <t>As an engineering team, we need one telemetry contract so React, FastAPI, DB spans, Alloy and Grafana use the same identifiers and field names.</t>
  </si>
  <si>
    <t>Document and freeze identifiers: session_id, correlation_id, trace_id, span_id; define safe attributes and prohibited data.</t>
  </si>
  <si>
    <t>Telemetry contract / README</t>
  </si>
  <si>
    <t>None</t>
  </si>
  <si>
    <t>Contract states: correlation_id = one business activity; trace_id = one distributed technical trace; span_id = one operation; session_id = one authenticated browser session. Prohibited: username, password, JWT, customer_id, account number, masked account number, recipient name, DOB, phone, address, raw SQL, SQL parameters, transfer amount in logs/traces.</t>
  </si>
  <si>
    <t>Peer review against implementation before coding.</t>
  </si>
  <si>
    <t>Not Started</t>
  </si>
  <si>
    <t>Correlation ID is searchable across logs/traces; never a metric label.</t>
  </si>
  <si>
    <t>OBS-002</t>
  </si>
  <si>
    <t>As an operator, I need consistent journey and failure-stage names so dashboards aggregate correctly.</t>
  </si>
  <si>
    <t>Freeze controlled values for journey.type, journey.stage, outcome, failure.stage and service.name.</t>
  </si>
  <si>
    <t>Telemetry contract / constants</t>
  </si>
  <si>
    <t>Only approved low-cardinality values are used; no dynamic customer/account/payment values become metric labels.</t>
  </si>
  <si>
    <t>Static review + metrics label audit.</t>
  </si>
  <si>
    <t>Suggested journey types: login, transfer. Suggested outcomes: success, failure.</t>
  </si>
  <si>
    <t>UI-001</t>
  </si>
  <si>
    <t>React Instrumentation</t>
  </si>
  <si>
    <t>React</t>
  </si>
  <si>
    <t>As an operator, I need each authenticated browser session grouped without exposing customer identity.</t>
  </si>
  <si>
    <t>Generate an opaque session_id after successful login; keep it for the browser session; clear it on logout.</t>
  </si>
  <si>
    <t>Login.tsx / auth state / session helper</t>
  </si>
  <si>
    <t>Login success creates a random opaque session_id; logout removes it; no customer_id/username is used for telemetry grouping.</t>
  </si>
  <si>
    <t>Login -&gt; inspect session storage; logout -&gt; confirm removal.</t>
  </si>
  <si>
    <t>Use an opaque random ID, not a customer identifier.</t>
  </si>
  <si>
    <t>UI-002</t>
  </si>
  <si>
    <t>As support, I need each login attempt to be independently searchable.</t>
  </si>
  <si>
    <t>Generate a login correlation_id immediately before the login request and attach it to the login API request.</t>
  </si>
  <si>
    <t>Login.tsx / apiClient.ts</t>
  </si>
  <si>
    <t>OBS-001, UI-001</t>
  </si>
  <si>
    <t>Every login attempt gets a new correlation_id; retry gets a new login correlation_id; credentials are never logged.</t>
  </si>
  <si>
    <t>Perform two login attempts and verify two different correlation IDs.</t>
  </si>
  <si>
    <t>UI-003</t>
  </si>
  <si>
    <t>As support, I need one transfer correlation_id to cover recipient verification through final payment result.</t>
  </si>
  <si>
    <t>Create transfer correlation_id when the user begins the transfer journey by selecting the source account (with current transfer type). Keep it until the transfer succeeds, fails definitively, is cancelled/abandoned, or a new transfer journey begins.</t>
  </si>
  <si>
    <t>Transfer.tsx / journey helper</t>
  </si>
  <si>
    <t>Recipient lookup, review, payment submission and final result all carry the same transfer correlation_id. A second transfer in the same session gets a different correlation_id.</t>
  </si>
  <si>
    <t>Run two transfers in one login session; verify same session_id but different transfer correlation IDs.</t>
  </si>
  <si>
    <t>Journey starts on source-account selection, per agreed design.</t>
  </si>
  <si>
    <t>UI-004</t>
  </si>
  <si>
    <t>As backend services, we need business and session context on API requests without duplicating code in every page.</t>
  </si>
  <si>
    <t>Enhance shared apiClient to inject X-Correlation-ID and X-Session-ID when supplied by caller/context; keep Authorization handling centralized.</t>
  </si>
  <si>
    <t>src/api/apiClient.ts</t>
  </si>
  <si>
    <t>UI-001, UI-002, UI-003</t>
  </si>
  <si>
    <t>Authenticated requests can carry session and correlation headers; login can carry correlation_id without JWT; existing idempotency header still works.</t>
  </si>
  <si>
    <t>Browser Network tab confirms headers for login, recipient lookup and payment.</t>
  </si>
  <si>
    <t>Do not auto-add a stale correlation ID to unrelated requests.</t>
  </si>
  <si>
    <t>UI-005</t>
  </si>
  <si>
    <t>As engineering, I need browser spans and API spans so React activity can be connected to FastAPI traces.</t>
  </si>
  <si>
    <t>Install/configure browser OpenTelemetry tracing and W3C trace-context propagation for API calls.</t>
  </si>
  <si>
    <t>src/telemetry/* / main.tsx</t>
  </si>
  <si>
    <t>OBS-001, UI-004</t>
  </si>
  <si>
    <t>React emits spans; outbound API calls include traceparent; FastAPI continues the distributed trace rather than creating an unrelated root trace.</t>
  </si>
  <si>
    <t>Open one API trace in Tempo and confirm browser -&gt; FastAPI parent/child relationship.</t>
  </si>
  <si>
    <t>Keep instrumentation minimal and understandable.</t>
  </si>
  <si>
    <t>UI-006</t>
  </si>
  <si>
    <t>Medium</t>
  </si>
  <si>
    <t>As engineering, I need browser performance visibility without excessive telemetry.</t>
  </si>
  <si>
    <t>Capture page/navigation timing, API request duration, and uncaught JavaScript errors using low-cardinality attributes.</t>
  </si>
  <si>
    <t>src/telemetry/*</t>
  </si>
  <si>
    <t>Metrics exist for page load/navigation duration, API duration and JS error count; no URL query values, account IDs or correlation IDs are metric labels.</t>
  </si>
  <si>
    <t>Generate a controlled JS error in dev and verify counter; inspect labels.</t>
  </si>
  <si>
    <t>UI-007</t>
  </si>
  <si>
    <t>As support, I need a small number of meaningful frontend journey events.</t>
  </si>
  <si>
    <t>Emit only high-value frontend events/spans: journey.started, journey.completed, journey.failed, recipient.verification.failed where applicable.</t>
  </si>
  <si>
    <t>Login.tsx / Transfer.tsx / telemetry helper</t>
  </si>
  <si>
    <t>Successful flows do not create noisy click/field-change logs; failed flows contain correlation_id, trace context, journey type/stage and safe error category only.</t>
  </si>
  <si>
    <t>Complete success and failure flows; compare event volume.</t>
  </si>
  <si>
    <t>UI-008</t>
  </si>
  <si>
    <t>As security, I need browser telemetry scrubbed before export.</t>
  </si>
  <si>
    <t>Add telemetry attribute filtering/sanitization and an explicit denylist for sensitive fields.</t>
  </si>
  <si>
    <t>src/telemetry/sanitize.ts</t>
  </si>
  <si>
    <t>OBS-001, UI-005</t>
  </si>
  <si>
    <t>No JWT, username, password, customer profile data, account identifiers, recipient label, amount, request/response bodies, or query-string secrets appear in exported telemetry.</t>
  </si>
  <si>
    <t>Search Loki/Tempo for known synthetic PII values and confirm zero matches.</t>
  </si>
  <si>
    <t>API-001</t>
  </si>
  <si>
    <t>FastAPI Correlation</t>
  </si>
  <si>
    <t>FastAPI</t>
  </si>
  <si>
    <t>As support, I need FastAPI to accept and preserve the UI correlation ID.</t>
  </si>
  <si>
    <t>Add correlation middleware: read X-Correlation-ID, validate format/length, generate one if missing, place it in request context, and return it in response header.</t>
  </si>
  <si>
    <t>app/main.py / middleware module</t>
  </si>
  <si>
    <t>Every request has exactly one valid correlation_id in backend context; UI-provided ID is preserved; missing/invalid ID is safely replaced.</t>
  </si>
  <si>
    <t>Call API with and without header; verify response and logs.</t>
  </si>
  <si>
    <t>Never trust arbitrary unbounded header values.</t>
  </si>
  <si>
    <t>API-002</t>
  </si>
  <si>
    <t>As operations, I need session grouping without customer PII.</t>
  </si>
  <si>
    <t>Read X-Session-ID into request context for telemetry only; validate format/length; never use it for authentication or authorization.</t>
  </si>
  <si>
    <t>middleware / request context</t>
  </si>
  <si>
    <t>UI-001, API-001</t>
  </si>
  <si>
    <t>session_id is available to telemetry and absent from business authorization decisions.</t>
  </si>
  <si>
    <t>Tamper with session_id and verify authorization remains based solely on JWT.</t>
  </si>
  <si>
    <t>API-003</t>
  </si>
  <si>
    <t>FastAPI Tracing</t>
  </si>
  <si>
    <t>As engineering, I need W3C trace context continued from React through FastAPI.</t>
  </si>
  <si>
    <t>Verify/adjust FastAPI OpenTelemetry instrumentation and propagator configuration; preserve existing backend tracing.</t>
  </si>
  <si>
    <t>telemetry.py / app startup</t>
  </si>
  <si>
    <t>Inbound traceparent produces a continued trace; backend spans share the same trace_id as the browser request trace.</t>
  </si>
  <si>
    <t>Tempo trace proves React -&gt; FastAPI continuity.</t>
  </si>
  <si>
    <t>API-004</t>
  </si>
  <si>
    <t>FastAPI Business Spans</t>
  </si>
  <si>
    <t>As support, I need important transfer stages visible without tracing every line of code.</t>
  </si>
  <si>
    <t>Add manual spans around critical transfer phases: account validation, balance validation, payment persistence/commit; recipient verification gets its own meaningful span.</t>
  </si>
  <si>
    <t>payments.py / accounts.py</t>
  </si>
  <si>
    <t>API-001, API-003</t>
  </si>
  <si>
    <t>Trace contains meaningful high-level spans; no raw SQL, request body, amount, account/customer identifiers, or PII attributes.</t>
  </si>
  <si>
    <t>Successful transfer trace shows all critical stages in order.</t>
  </si>
  <si>
    <t>Automatic lower-level DB spans may exist, but manual spans remain the primary story.</t>
  </si>
  <si>
    <t>API-005</t>
  </si>
  <si>
    <t>FastAPI Logs</t>
  </si>
  <si>
    <t>As support, I need failure-oriented structured logs tied to the same journey.</t>
  </si>
  <si>
    <t>Standardize structured logs with correlation_id, trace_id/span_id when available, journey.type, journey.stage, outcome/failure.category; minimize success logs.</t>
  </si>
  <si>
    <t>telemetry/logging helper + routes</t>
  </si>
  <si>
    <t>Logs for failures can be retrieved by correlation_id; successful requests do not create bulky per-step logs.</t>
  </si>
  <si>
    <t>Trigger recipient-not-found and insufficient-funds cases; query Loki by correlation_id.</t>
  </si>
  <si>
    <t>API-006</t>
  </si>
  <si>
    <t>FastAPI Metrics</t>
  </si>
  <si>
    <t>As business and operations, I need trendable counters and latency metrics.</t>
  </si>
  <si>
    <t>Add counters/histograms for login attempts/success/failure, transfer attempts/success/failure, recipient verification failure, API duration and payment duration.</t>
  </si>
  <si>
    <t>telemetry.py / auth.py / payments.py / accounts.py</t>
  </si>
  <si>
    <t>OBS-002, API-003</t>
  </si>
  <si>
    <t>Metrics expose only low-cardinality labels such as journey, outcome, failure_type, route template and status class. correlation_id/trace_id/customer/payment/account are not metric labels.</t>
  </si>
  <si>
    <t>Prometheus query confirms expected counters and bounded label values.</t>
  </si>
  <si>
    <t>API-007</t>
  </si>
  <si>
    <t>FastAPI Errors</t>
  </si>
  <si>
    <t>As operations, I need failures categorized consistently.</t>
  </si>
  <si>
    <t>Map expected failures to safe categories: auth, validation, not_found, insufficient_funds, database, network/internal; attach category to logs/spans/metrics without exposing raw exception data.</t>
  </si>
  <si>
    <t>shared error helper / routes</t>
  </si>
  <si>
    <t>API-005, API-006</t>
  </si>
  <si>
    <t>Grafana can group failures by category; raw stack/SQL/customer data is not exported to normal telemetry.</t>
  </si>
  <si>
    <t>Exercise each test failure and inspect telemetry.</t>
  </si>
  <si>
    <t>DB-001</t>
  </si>
  <si>
    <t>Database Tracing</t>
  </si>
  <si>
    <t>Database</t>
  </si>
  <si>
    <t>As engineering, I need to see where database time is spent without storing SQL text or parameters.</t>
  </si>
  <si>
    <t>Enable safe PostgreSQL/psycopg tracing or manual DB spans; configure suppression/sanitization of statement text and parameters.</t>
  </si>
  <si>
    <t>DB instrumentation configuration</t>
  </si>
  <si>
    <t>Tempo shows DB operation spans/duration; no SQL text, SQL bind values, account numbers, customer data or transfer amount are present.</t>
  </si>
  <si>
    <t>Search trace attributes for SQL/request data; confirm absent.</t>
  </si>
  <si>
    <t>Correlation ID is observable in trace/log context, not persisted into banking tables.</t>
  </si>
  <si>
    <t>DB-002</t>
  </si>
  <si>
    <t>As support, I need the payment database transaction boundary visible.</t>
  </si>
  <si>
    <t>Create/verify one high-level span covering atomic payment persistence and commit/rollback outcome.</t>
  </si>
  <si>
    <t>payments.py DB transaction block</t>
  </si>
  <si>
    <t>API-004, DB-001</t>
  </si>
  <si>
    <t>Successful payment shows DB commit stage; failed DB transaction shows failure/rollback outcome without exposing SQL details.</t>
  </si>
  <si>
    <t>Run success and forced rollback test; compare traces.</t>
  </si>
  <si>
    <t>DB-003</t>
  </si>
  <si>
    <t>Database Validation</t>
  </si>
  <si>
    <t>As QA, I need reproducible database scenarios to validate observability.</t>
  </si>
  <si>
    <t>Maintain SQL validation scripts/queries for success, insufficient funds, cross-customer transfer, and integrity checks using synthetic data only.</t>
  </si>
  <si>
    <t>scripts/sql/observability_validation.sql</t>
  </si>
  <si>
    <t>Existing synthetic banking DB</t>
  </si>
  <si>
    <t>Validation script is read-only except explicitly documented synthetic setup; it can verify resulting payment/transaction integrity for observability tests.</t>
  </si>
  <si>
    <t>Run against banking_lab and confirm expected records/counts.</t>
  </si>
  <si>
    <t>DB-004</t>
  </si>
  <si>
    <t>Database Governance</t>
  </si>
  <si>
    <t>As architecture, I want observability separated from transactional storage.</t>
  </si>
  <si>
    <t>Confirm no new observability log/trace tables or correlation columns are added to core banking tables unless a future audit requirement explicitly demands persistence.</t>
  </si>
  <si>
    <t>Schema review</t>
  </si>
  <si>
    <t>Banking schema remains business-focused; telemetry stays in Loki/Tempo/Prometheus.</t>
  </si>
  <si>
    <t>Schema diff before/after implementation shows no telemetry-only persistence.</t>
  </si>
  <si>
    <t>OBS-003</t>
  </si>
  <si>
    <t>Telemetry Pipeline</t>
  </si>
  <si>
    <t>Alloy/Grafana</t>
  </si>
  <si>
    <t>As platform engineering, I need React and FastAPI telemetry to use the existing Alloy path.</t>
  </si>
  <si>
    <t>Configure Alloy receivers/exporters for browser/backend OTLP while preserving existing Loki/Tempo/Prometheus flow.</t>
  </si>
  <si>
    <t>Alloy config / compose.observability.yaml</t>
  </si>
  <si>
    <t>UI-005, API-003</t>
  </si>
  <si>
    <t>Alloy receives frontend/backend telemetry and forwards traces to Tempo, metrics to Prometheus, logs to Loki; existing backend dashboards continue to work.</t>
  </si>
  <si>
    <t>Check Alloy health and backend ingestion after config change.</t>
  </si>
  <si>
    <t>OBS-004</t>
  </si>
  <si>
    <t>As security, I need a second protection layer against sensitive telemetry.</t>
  </si>
  <si>
    <t>Add Alloy-side filtering/drop rules for prohibited attributes/headers where practical.</t>
  </si>
  <si>
    <t>Alloy config</t>
  </si>
  <si>
    <t>OBS-001, OBS-003</t>
  </si>
  <si>
    <t>Known prohibited fields are dropped before storage even if application instrumentation accidentally adds them.</t>
  </si>
  <si>
    <t>Inject controlled forbidden test attribute in dev; verify it is absent downstream.</t>
  </si>
  <si>
    <t>Defense in depth; app-side sanitization remains required.</t>
  </si>
  <si>
    <t>OBS-005</t>
  </si>
  <si>
    <t>As engineering, I need reliable trace-log correlation.</t>
  </si>
  <si>
    <t>Ensure logs include trace_id/span_id and correlation_id; configure Grafana/Tempo/Loki links so a trace can jump to related logs and vice versa.</t>
  </si>
  <si>
    <t>Alloy/Grafana data source configuration</t>
  </si>
  <si>
    <t>API-005, OBS-003</t>
  </si>
  <si>
    <t>From Tempo trace, operator can open related Loki logs; from a correlation ID search, operator can identify related trace IDs.</t>
  </si>
  <si>
    <t>Perform one failed transfer and navigate both directions.</t>
  </si>
  <si>
    <t>OBS-006</t>
  </si>
  <si>
    <t>As engineering, I need metrics-to-trace investigation where supported.</t>
  </si>
  <si>
    <t>Configure exemplars/trace linkage for latency metrics where supported by the current local stack.</t>
  </si>
  <si>
    <t>Prometheus/Tempo/Grafana config</t>
  </si>
  <si>
    <t>API-006, OBS-003</t>
  </si>
  <si>
    <t>At least one latency metric can link from an exemplar to a representative trace, or limitation is documented if local stack does not support it.</t>
  </si>
  <si>
    <t>Generate transfer traffic and test metric -&gt; trace drill-down.</t>
  </si>
  <si>
    <t>GRAF-001</t>
  </si>
  <si>
    <t>Dashboards</t>
  </si>
  <si>
    <t>As an executive/business stakeholder, I need a concise journey health dashboard.</t>
  </si>
  <si>
    <t>Build Business Journey Overview dashboard: login attempts/success/failure, transfer attempts/success/failure, success rate, average duration, daily/weekly/monthly trends.</t>
  </si>
  <si>
    <t>Grafana dashboard JSON provisioning</t>
  </si>
  <si>
    <t>Dashboard answers volume, success rate and trend questions without exposing technical IDs or customer data; selectable time range supports daily/monthly/yearly views.</t>
  </si>
  <si>
    <t>Validate panels against known synthetic test counts.</t>
  </si>
  <si>
    <t>No correlation IDs on executive dashboard.</t>
  </si>
  <si>
    <t>GRAF-002</t>
  </si>
  <si>
    <t>As operations/support, I need to find and investigate failed customer journeys quickly.</t>
  </si>
  <si>
    <t>Build Support Journey Investigation dashboard: failures over time, journey/failure stage breakdown, recent failures, correlation ID search, links to logs/traces.</t>
  </si>
  <si>
    <t>API-005, API-006, OBS-005</t>
  </si>
  <si>
    <t>Given a correlation_id, support can retrieve related failure logs and trace(s) without customer PII; recent failure panels show safe fields only.</t>
  </si>
  <si>
    <t>Trigger failed login, recipient lookup and transfer; investigate each from dashboard.</t>
  </si>
  <si>
    <t>GRAF-003</t>
  </si>
  <si>
    <t>As engineering/operations, I need technical performance and dependency health.</t>
  </si>
  <si>
    <t>Build Engineering Observability dashboard: frontend API duration, page/navigation performance, JS errors, FastAPI latency/error rate, payment duration, DB span duration, slow traces.</t>
  </si>
  <si>
    <t>UI-006, API-006, DB-001</t>
  </si>
  <si>
    <t>Dashboard shows frontend/backend/DB latency and error trends; panels can drill into traces/logs; no sensitive labels.</t>
  </si>
  <si>
    <t>Generate normal + slow/error scenarios and verify panels react.</t>
  </si>
  <si>
    <t>GRAF-004</t>
  </si>
  <si>
    <t>As operators, I need dashboard variables that are useful but safe.</t>
  </si>
  <si>
    <t>Add variables for environment, service, journey type, outcome/failure category and time range; avoid customer/correlation IDs as broad metric variables.</t>
  </si>
  <si>
    <t>GRAF-001, GRAF-002, GRAF-003</t>
  </si>
  <si>
    <t>Variables use bounded values and do not create high-cardinality metric queries.</t>
  </si>
  <si>
    <t>Inspect variable query results and dashboard performance.</t>
  </si>
  <si>
    <t>E2E-001</t>
  </si>
  <si>
    <t>End-to-End Validation</t>
  </si>
  <si>
    <t>As support, I need one correlation ID to retrieve a complete transfer story.</t>
  </si>
  <si>
    <t>Execute external-recipient transfer: source selection -&gt; recipient verification -&gt; review -&gt; payment -&gt; DB commit; capture correlation ID and prove visibility across UI/API/DB-related telemetry.</t>
  </si>
  <si>
    <t>React + FastAPI + Tempo + Loki</t>
  </si>
  <si>
    <t>UI-003, API-004, DB-002, OBS-005</t>
  </si>
  <si>
    <t>Same correlation_id is visible across all relevant events/logs/spans; recipient lookup and payment may have different trace_ids but belong to the same correlation_id.</t>
  </si>
  <si>
    <t>Document screenshots/query evidence for one successful transfer.</t>
  </si>
  <si>
    <t>E2E-002</t>
  </si>
  <si>
    <t>As support, I need failures to identify the exact stage.</t>
  </si>
  <si>
    <t>Run failure scenarios: invalid login, recipient not found, insufficient funds, and controlled backend/DB failure.</t>
  </si>
  <si>
    <t>Full stack</t>
  </si>
  <si>
    <t>API-007, GRAF-002</t>
  </si>
  <si>
    <t>Each failure appears with journey type, correlation_id where applicable, failure stage/category, safe message, trace/log drill-down; no sensitive data leaks.</t>
  </si>
  <si>
    <t>Validate each scenario in Support dashboard.</t>
  </si>
  <si>
    <t>E2E-003</t>
  </si>
  <si>
    <t>As security, I need proof that monitoring stores no PII/NPI/secrets.</t>
  </si>
  <si>
    <t>Run automated/manual sensitive-data audit across Loki/Tempo/Prometheus for known synthetic usernames, names, emails, phones, DOBs, addresses, account numbers, JWT fragments, recipient labels and transfer amount.</t>
  </si>
  <si>
    <t>Validation script / Grafana queries</t>
  </si>
  <si>
    <t>UI-008, OBS-004, DB-001</t>
  </si>
  <si>
    <t>Zero prohibited matches. Any unavoidable framework metadata is documented and assessed.</t>
  </si>
  <si>
    <t>Run audit after success/failure traffic generation.</t>
  </si>
  <si>
    <t>E2E-004</t>
  </si>
  <si>
    <t>As platform engineering, I need to understand observability overhead.</t>
  </si>
  <si>
    <t>Measure baseline vs instrumented API/frontend latency and telemetry volume under a small repeatable load.</t>
  </si>
  <si>
    <t>React/FastAPI/Alloy</t>
  </si>
  <si>
    <t>Overhead is measured and documented; no material functional regression; telemetry volume is understandable enough to estimate future scaling.</t>
  </si>
  <si>
    <t>Run same synthetic workflow before/after instrumentation and compare.</t>
  </si>
  <si>
    <t>E2E-005</t>
  </si>
  <si>
    <t>Operational Readiness</t>
  </si>
  <si>
    <t>As operations, I need a short investigation runbook.</t>
  </si>
  <si>
    <t>Create runbook: start from alert/dashboard -&gt; correlation ID -&gt; metrics -&gt; trace -&gt; span -&gt; logs -&gt; service/DB stage; include common queries and privacy rules.</t>
  </si>
  <si>
    <t>README / docs</t>
  </si>
  <si>
    <t>A new operator can investigate a failed transfer using the runbook without opening source code or querying business tables.</t>
  </si>
  <si>
    <t>Dry-run investigation using only the runbook.</t>
  </si>
  <si>
    <t>E2E-006</t>
  </si>
  <si>
    <t>As the project owner, I need a final Definition of Done before calling the observability POC complete.</t>
  </si>
  <si>
    <t>Perform final regression: login, accounts, profile, internal transfer, external transfer, transaction history, dashboard refresh, all three Grafana dashboards, privacy audit and correlation drill-down.</t>
  </si>
  <si>
    <t>Full solution</t>
  </si>
  <si>
    <t>All prior items</t>
  </si>
  <si>
    <t>Existing banking functionality remains working; observability requirements are met; dashboards are provisioned/reproducible; no PII/NPI leakage; documentation is current.</t>
  </si>
  <si>
    <t>Signed-off checklist.</t>
  </si>
  <si>
    <t>Telemetry Contract - IDs, Signals, Safe Attributes and Data Handling</t>
  </si>
  <si>
    <t>Concept</t>
  </si>
  <si>
    <t>Purpose</t>
  </si>
  <si>
    <t>Lifecycle</t>
  </si>
  <si>
    <t>Where Used</t>
  </si>
  <si>
    <t>Allowed Examples</t>
  </si>
  <si>
    <t>Never Put Here</t>
  </si>
  <si>
    <t>session_id</t>
  </si>
  <si>
    <t>Groups activity from one authenticated browser session without using customer identity.</t>
  </si>
  <si>
    <t>Created after successful login; cleared on logout/browser session end.</t>
  </si>
  <si>
    <t>React headers, safe telemetry attributes, support analysis.</t>
  </si>
  <si>
    <t>Random opaque UUID.</t>
  </si>
  <si>
    <t>customer_id, username, email, account number, JWT</t>
  </si>
  <si>
    <t>correlation_id</t>
  </si>
  <si>
    <t>Groups all technical requests belonging to one business activity/journey.</t>
  </si>
  <si>
    <t>New per login attempt and per transfer journey. Transfer begins on source-account selection and remains through recipient verification/payment result.</t>
  </si>
  <si>
    <t>X-Correlation-ID header, logs, spans, support search.</t>
  </si>
  <si>
    <t>Random UUID.</t>
  </si>
  <si>
    <t>As a metric label; customer/account/payment identity</t>
  </si>
  <si>
    <t>trace_id</t>
  </si>
  <si>
    <t>OpenTelemetry identifier for one distributed technical trace.</t>
  </si>
  <si>
    <t>Generated/propagated by OpenTelemetry per technical request trace.</t>
  </si>
  <si>
    <t>Tempo, trace/log links, exemplars.</t>
  </si>
  <si>
    <t>OTel-generated trace ID.</t>
  </si>
  <si>
    <t>Business identity replacement</t>
  </si>
  <si>
    <t>span_id</t>
  </si>
  <si>
    <t>Identifies one operation inside a trace.</t>
  </si>
  <si>
    <t>Generated by OpenTelemetry per span.</t>
  </si>
  <si>
    <t>Tempo, structured logs.</t>
  </si>
  <si>
    <t>OTel-generated span ID.</t>
  </si>
  <si>
    <t>Customer or transaction identifiers</t>
  </si>
  <si>
    <t>Approved High-Level Journey Stages</t>
  </si>
  <si>
    <t>Journey</t>
  </si>
  <si>
    <t>Stage</t>
  </si>
  <si>
    <t>Signal Preference</t>
  </si>
  <si>
    <t>Notes</t>
  </si>
  <si>
    <t>login</t>
  </si>
  <si>
    <t>login.started</t>
  </si>
  <si>
    <t>span/event + counter</t>
  </si>
  <si>
    <t>No username/password.</t>
  </si>
  <si>
    <t>login.completed</t>
  </si>
  <si>
    <t>span/event + success counter/duration</t>
  </si>
  <si>
    <t>No customer identity.</t>
  </si>
  <si>
    <t>login.failed</t>
  </si>
  <si>
    <t>log/span event + failure counter</t>
  </si>
  <si>
    <t>Safe failure category only.</t>
  </si>
  <si>
    <t>transfer</t>
  </si>
  <si>
    <t>transfer.started</t>
  </si>
  <si>
    <t>Create correlation_id at source-account selection.</t>
  </si>
  <si>
    <t>recipient.verification</t>
  </si>
  <si>
    <t>span; log only on failure</t>
  </si>
  <si>
    <t>Same transfer correlation_id.</t>
  </si>
  <si>
    <t>transfer.reviewed</t>
  </si>
  <si>
    <t>span/event</t>
  </si>
  <si>
    <t>No amount/account attributes.</t>
  </si>
  <si>
    <t>payment.submitted</t>
  </si>
  <si>
    <t>Preserve idempotency behavior.</t>
  </si>
  <si>
    <t>payment.validation</t>
  </si>
  <si>
    <t>backend span; log on failure</t>
  </si>
  <si>
    <t>Account/balance validation without values.</t>
  </si>
  <si>
    <t>payment.database</t>
  </si>
  <si>
    <t>backend/DB span; log on failure</t>
  </si>
  <si>
    <t>No SQL text/parameters.</t>
  </si>
  <si>
    <t>payment.completed</t>
  </si>
  <si>
    <t>Final journey outcome.</t>
  </si>
  <si>
    <t>payment.failed</t>
  </si>
  <si>
    <t>Include safe failure stage/category.</t>
  </si>
  <si>
    <t>Sensitive Data Policy</t>
  </si>
  <si>
    <t>Allowed / Safe</t>
  </si>
  <si>
    <t>Conditional / Aggregate Only</t>
  </si>
  <si>
    <t>Prohibited</t>
  </si>
  <si>
    <t>service.name, environment, route template, HTTP status class</t>
  </si>
  <si>
    <t>Transfer amount only as future aggregate business metric if explicitly approved</t>
  </si>
  <si>
    <t>Username / password</t>
  </si>
  <si>
    <t>journey.type, journey.stage, outcome</t>
  </si>
  <si>
    <t>Opaque session_id</t>
  </si>
  <si>
    <t>JWT / authorization header</t>
  </si>
  <si>
    <t>safe failure.category</t>
  </si>
  <si>
    <t>Correlation ID in logs/traces only</t>
  </si>
  <si>
    <t>Customer ID / name / email / phone / DOB / address</t>
  </si>
  <si>
    <t>trace_id/span_id in logs/traces</t>
  </si>
  <si>
    <t>Payment ID only if later explicitly approved for support use</t>
  </si>
  <si>
    <t>Full or masked account number</t>
  </si>
  <si>
    <t>duration/counts</t>
  </si>
  <si>
    <t>Internal synthetic-only test markers</t>
  </si>
  <si>
    <t>Recipient name / label</t>
  </si>
  <si>
    <t>HTTP method / route template</t>
  </si>
  <si>
    <t>No individual transfer value in logs/traces</t>
  </si>
  <si>
    <t>Raw SQL / SQL parameters / request or response bodies</t>
  </si>
  <si>
    <t>Grafana Dashboard Solution Plan</t>
  </si>
  <si>
    <t>Dashboard</t>
  </si>
  <si>
    <t>Audience</t>
  </si>
  <si>
    <t>Primary Questions</t>
  </si>
  <si>
    <t>Core Panels</t>
  </si>
  <si>
    <t>Primary Signal</t>
  </si>
  <si>
    <t>Drill-down</t>
  </si>
  <si>
    <t>Privacy Guardrail</t>
  </si>
  <si>
    <t>Acceptance</t>
  </si>
  <si>
    <t>Business Journey Overview</t>
  </si>
  <si>
    <t>Executives / business</t>
  </si>
  <si>
    <t>How many logins/transfers? Success rate? Are trends improving? Are journeys getting slower?</t>
  </si>
  <si>
    <t>Login attempts/success/failure; transfer attempts/success/failure; success rate; avg duration; daily/weekly/monthly trend; optional yearly trend.</t>
  </si>
  <si>
    <t>Metrics</t>
  </si>
  <si>
    <t>From trend panel to Support dashboard/time window.</t>
  </si>
  <si>
    <t>No correlation/customer/account identifiers.</t>
  </si>
  <si>
    <t>Counts match synthetic tests and trends respond to time-range changes.</t>
  </si>
  <si>
    <t>Support Journey Investigation</t>
  </si>
  <si>
    <t>Support / operations</t>
  </si>
  <si>
    <t>What failed? At which stage? Can I retrieve all related evidence using one correlation ID?</t>
  </si>
  <si>
    <t>Failures over time; failure stage/category; recent failures; correlation ID search; related logs; trace links.</t>
  </si>
  <si>
    <t>Logs + traces + metrics</t>
  </si>
  <si>
    <t>Correlation ID -&gt; Loki logs -&gt; Tempo trace(s).</t>
  </si>
  <si>
    <t>Safe fields only; no PII/NPI, amount, account data.</t>
  </si>
  <si>
    <t>A failed login/recipient lookup/transfer can be investigated without source code or DB queries.</t>
  </si>
  <si>
    <t>Engineering Observability</t>
  </si>
  <si>
    <t>Engineering / SRE / platform</t>
  </si>
  <si>
    <t>Where is latency? Is frontend/API/DB unhealthy? Are JS/API/database errors increasing?</t>
  </si>
  <si>
    <t>Frontend API duration; page/navigation duration; JS errors; FastAPI latency/error rate; payment latency; DB span duration; slow traces.</t>
  </si>
  <si>
    <t>Metrics + traces</t>
  </si>
  <si>
    <t>Metric -&gt; exemplar/trace (if supported) -&gt; spans -&gt; logs.</t>
  </si>
  <si>
    <t>No high-cardinality business IDs as metric labels.</t>
  </si>
  <si>
    <t>Normal and induced slow/error scenarios visibly change relevant panels.</t>
  </si>
  <si>
    <t>Recommended Dashboard Variables</t>
  </si>
  <si>
    <t>Variable</t>
  </si>
  <si>
    <t>Use</t>
  </si>
  <si>
    <t>Do Not Use</t>
  </si>
  <si>
    <t>Time range</t>
  </si>
  <si>
    <t>Daily, weekly, monthly, yearly analysis</t>
  </si>
  <si>
    <t>N/A</t>
  </si>
  <si>
    <t>Environment</t>
  </si>
  <si>
    <t>local/dev/test/prod separation</t>
  </si>
  <si>
    <t>Customer-specific values</t>
  </si>
  <si>
    <t>Service</t>
  </si>
  <si>
    <t>React/FastAPI/etc.</t>
  </si>
  <si>
    <t>Correlation ID as a metric variable</t>
  </si>
  <si>
    <t>Journey type</t>
  </si>
  <si>
    <t>login / transfer</t>
  </si>
  <si>
    <t>Account/payment/customer IDs</t>
  </si>
  <si>
    <t>Outcome / failure category</t>
  </si>
  <si>
    <t>success/failure and safe grouped reason</t>
  </si>
  <si>
    <t>Raw exception text</t>
  </si>
  <si>
    <t>Implementation Sequence, Milestones and Definition of Done</t>
  </si>
  <si>
    <t>Milestone</t>
  </si>
  <si>
    <t>Scope</t>
  </si>
  <si>
    <t>Entry Criteria</t>
  </si>
  <si>
    <t>Exit / Acceptance</t>
  </si>
  <si>
    <t>Key Demo</t>
  </si>
  <si>
    <t>M1 - Telemetry Contract</t>
  </si>
  <si>
    <t>IDs, stages, safe attributes, privacy rules</t>
  </si>
  <si>
    <t>Current app/backend observability baseline working</t>
  </si>
  <si>
    <t>Contract frozen; naming/PII rules approved</t>
  </si>
  <si>
    <t>Explain session/correlation/trace/span model</t>
  </si>
  <si>
    <t>M2 - React Journey Context</t>
  </si>
  <si>
    <t>session_id, correlation_id, shared headers, browser OTel</t>
  </si>
  <si>
    <t>M1</t>
  </si>
  <si>
    <t>Login and transfer correlation IDs generated/propagated; no sensitive telemetry</t>
  </si>
  <si>
    <t>Two transfers in one session: same session_id, different correlation IDs</t>
  </si>
  <si>
    <t>M3 - FastAPI Correlation &amp; Tracing</t>
  </si>
  <si>
    <t>middleware, trace propagation, business spans, structured logs/metrics</t>
  </si>
  <si>
    <t>M2</t>
  </si>
  <si>
    <t>React -&gt; FastAPI trace continuity; safe high-level transfer spans; bounded metrics</t>
  </si>
  <si>
    <t>Follow recipient lookup and payment through backend</t>
  </si>
  <si>
    <t>M4 - DB Visibility</t>
  </si>
  <si>
    <t>safe DB spans, transaction boundary, validation scripts</t>
  </si>
  <si>
    <t>M3</t>
  </si>
  <si>
    <t>DB duration/commit/rollback visible with no SQL text/params</t>
  </si>
  <si>
    <t>Show payment DB stage in trace</t>
  </si>
  <si>
    <t>M5 - Alloy Pipeline Hardening</t>
  </si>
  <si>
    <t>frontend/backend ingestion, filtering, links</t>
  </si>
  <si>
    <t>M2-M4</t>
  </si>
  <si>
    <t>All signals arrive in correct backends; sensitive attribute filters active</t>
  </si>
  <si>
    <t>Trace &lt;-&gt; logs navigation</t>
  </si>
  <si>
    <t>M6 - Grafana Dashboards</t>
  </si>
  <si>
    <t>Business, Support, Engineering dashboards</t>
  </si>
  <si>
    <t>M5</t>
  </si>
  <si>
    <t>Dashboards answer audience questions and support time trends/drill-down</t>
  </si>
  <si>
    <t>Executive trend + failed transfer investigation + slow trace</t>
  </si>
  <si>
    <t>M7 - End-to-End Sign-off</t>
  </si>
  <si>
    <t>success/failure regression, privacy audit, overhead, runbook</t>
  </si>
  <si>
    <t>M1-M6</t>
  </si>
  <si>
    <t>Full functional regression passes; no PII/NPI leaks; dashboards reproducible; runbook complete</t>
  </si>
  <si>
    <t>One correlation ID from UI journey to API/DB telemetry and dashboards</t>
  </si>
  <si>
    <t>Final Definition of Done</t>
  </si>
  <si>
    <t>Check</t>
  </si>
  <si>
    <t>Functional regression</t>
  </si>
  <si>
    <t>Login, Accounts, Profile, internal transfer, external transfer, transaction history and Dashboard refresh still work.</t>
  </si>
  <si>
    <t>Journey correlation</t>
  </si>
  <si>
    <t>A transfer correlation_id covers source selection, recipient verification, review/payment and final result; a second transfer gets a new ID.</t>
  </si>
  <si>
    <t>Distributed tracing</t>
  </si>
  <si>
    <t>Browser trace context continues into FastAPI; DB-related stages appear in trace.</t>
  </si>
  <si>
    <t>Logs</t>
  </si>
  <si>
    <t>Failures are searchable by correlation_id and contain safe stage/category information only.</t>
  </si>
  <si>
    <t>Login/transfer volume, success/failure and duration metrics are available with bounded labels.</t>
  </si>
  <si>
    <t>Privacy</t>
  </si>
  <si>
    <t>No JWT, credentials, PII/NPI, account identifiers, recipient label, raw SQL/params, request/response bodies or individual transfer amount in logs/traces/metric labels.</t>
  </si>
  <si>
    <t>Business, Support and Engineering Grafana dashboards are provisioned and validated.</t>
  </si>
  <si>
    <t>Trends</t>
  </si>
  <si>
    <t>Time-range queries support daily/monthly/yearly decision-making where sufficient data exists.</t>
  </si>
  <si>
    <t>Investigation</t>
  </si>
  <si>
    <t>Support can start from dashboard/correlation_id and reach related trace(s) and logs.</t>
  </si>
  <si>
    <t>Reproducibility</t>
  </si>
  <si>
    <t>All config/dashboard changes are source-controlled/provisioned rather than manual-only.</t>
  </si>
  <si>
    <t>Happy Wallet Bank - Observability POC Delivery Summary</t>
  </si>
  <si>
    <t>Design Principle</t>
  </si>
  <si>
    <t>Decision</t>
  </si>
  <si>
    <t>Tracker KPI</t>
  </si>
  <si>
    <t>Value</t>
  </si>
  <si>
    <t>Transfer journey start</t>
  </si>
  <si>
    <t>Create correlation_id when source account is selected for the chosen transfer type.</t>
  </si>
  <si>
    <t>Total Tasks</t>
  </si>
  <si>
    <t>Journey identity</t>
  </si>
  <si>
    <t>New correlation_id per business activity; login and each transfer are separate.</t>
  </si>
  <si>
    <t>High Priority</t>
  </si>
  <si>
    <t>Session grouping</t>
  </si>
  <si>
    <t>Opaque session_id per authenticated browser session; no customer identity in telemetry.</t>
  </si>
  <si>
    <t>React Tasks</t>
  </si>
  <si>
    <t>Technical tracing</t>
  </si>
  <si>
    <t>OpenTelemetry trace_id per distributed technical trace; span_id per operation.</t>
  </si>
  <si>
    <t>FastAPI Tasks</t>
  </si>
  <si>
    <t>Telemetry routing</t>
  </si>
  <si>
    <t>React/FastAPI -&gt; Alloy -&gt; Tempo/Loki/Prometheus -&gt; Grafana.</t>
  </si>
  <si>
    <t>Dashboard Tasks</t>
  </si>
  <si>
    <t>Count</t>
  </si>
  <si>
    <t>In Progress</t>
  </si>
  <si>
    <t>Blocked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</si>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</sst>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Implementation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Summary!$D$11:$D$14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Done</c:v>
                </c:pt>
              </c:strCache>
            </c:strRef>
          </c:cat>
          <c:val>
            <c:numRef>
              <c:f>Summary!$E$11:$E$14</c:f>
              <c:numCache>
                <c:formatCode>General</c:formatCode>
                <c:ptCount val="4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0-4657-AE79-C5B840A78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lementationTasks" displayName="ImplementationTasks" ref="A4:M39" totalsRowShown="0">
  <tableColumns count="13">
    <tableColumn id="1" xr3:uid="{00000000-0010-0000-0000-000001000000}" name="ID"/>
    <tableColumn id="2" xr3:uid="{00000000-0010-0000-0000-000002000000}" name="Phase"/>
    <tableColumn id="3" xr3:uid="{00000000-0010-0000-0000-000003000000}" name="Area"/>
    <tableColumn id="4" xr3:uid="{00000000-0010-0000-0000-000004000000}" name="Priority"/>
    <tableColumn id="5" xr3:uid="{00000000-0010-0000-0000-000005000000}" name="User Story / Outcome"/>
    <tableColumn id="6" xr3:uid="{00000000-0010-0000-0000-000006000000}" name="Implementation Task"/>
    <tableColumn id="7" xr3:uid="{00000000-0010-0000-0000-000007000000}" name="Primary Component / File"/>
    <tableColumn id="8" xr3:uid="{00000000-0010-0000-0000-000008000000}" name="Dependencies"/>
    <tableColumn id="9" xr3:uid="{00000000-0010-0000-0000-000009000000}" name="Acceptance Criteria"/>
    <tableColumn id="10" xr3:uid="{00000000-0010-0000-0000-00000A000000}" name="Validation / Test"/>
    <tableColumn id="11" xr3:uid="{00000000-0010-0000-0000-00000B000000}" name="Status"/>
    <tableColumn id="12" xr3:uid="{00000000-0010-0000-0000-00000C000000}" name="Notes / Decision"/>
    <tableColumn id="13" xr3:uid="{00000000-0010-0000-0000-00000D00000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workbookViewId="0">
      <selection activeCell="E5" sqref="E5"/>
    </sheetView>
  </sheetViews>
  <sheetFormatPr defaultRowHeight="14"/>
  <cols>
    <col min="1" max="1" width="12" customWidth="1"/>
    <col min="2" max="2" width="20" customWidth="1"/>
    <col min="3" max="3" width="18" customWidth="1"/>
    <col min="4" max="4" width="11" customWidth="1"/>
    <col min="5" max="5" width="34" customWidth="1"/>
    <col min="6" max="6" width="42" customWidth="1"/>
    <col min="7" max="7" width="30" customWidth="1"/>
    <col min="8" max="8" width="24" customWidth="1"/>
    <col min="9" max="9" width="48" customWidth="1"/>
    <col min="10" max="10" width="38" customWidth="1"/>
    <col min="11" max="11" width="14" customWidth="1"/>
    <col min="12" max="12" width="34" customWidth="1"/>
    <col min="13" max="13" width="16" customWidth="1"/>
  </cols>
  <sheetData>
    <row r="1" spans="1:13" ht="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4.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98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/>
    </row>
    <row r="6" spans="1:13" ht="42">
      <c r="A6" s="3" t="s">
        <v>27</v>
      </c>
      <c r="B6" s="3" t="s">
        <v>16</v>
      </c>
      <c r="C6" s="3" t="s">
        <v>17</v>
      </c>
      <c r="D6" s="3" t="s">
        <v>18</v>
      </c>
      <c r="E6" s="3" t="s">
        <v>28</v>
      </c>
      <c r="F6" s="3" t="s">
        <v>29</v>
      </c>
      <c r="G6" s="3" t="s">
        <v>30</v>
      </c>
      <c r="H6" s="3" t="s">
        <v>15</v>
      </c>
      <c r="I6" s="3" t="s">
        <v>31</v>
      </c>
      <c r="J6" s="3" t="s">
        <v>32</v>
      </c>
      <c r="K6" s="3" t="s">
        <v>25</v>
      </c>
      <c r="L6" s="3" t="s">
        <v>33</v>
      </c>
      <c r="M6" s="3"/>
    </row>
    <row r="7" spans="1:13" ht="42">
      <c r="A7" s="3" t="s">
        <v>34</v>
      </c>
      <c r="B7" s="3" t="s">
        <v>35</v>
      </c>
      <c r="C7" s="3" t="s">
        <v>36</v>
      </c>
      <c r="D7" s="3" t="s">
        <v>18</v>
      </c>
      <c r="E7" s="3" t="s">
        <v>37</v>
      </c>
      <c r="F7" s="3" t="s">
        <v>38</v>
      </c>
      <c r="G7" s="3" t="s">
        <v>39</v>
      </c>
      <c r="H7" s="3" t="s">
        <v>15</v>
      </c>
      <c r="I7" s="3" t="s">
        <v>40</v>
      </c>
      <c r="J7" s="3" t="s">
        <v>41</v>
      </c>
      <c r="K7" s="3" t="s">
        <v>25</v>
      </c>
      <c r="L7" s="3" t="s">
        <v>42</v>
      </c>
      <c r="M7" s="3"/>
    </row>
    <row r="8" spans="1:13" ht="42">
      <c r="A8" s="3" t="s">
        <v>43</v>
      </c>
      <c r="B8" s="3" t="s">
        <v>35</v>
      </c>
      <c r="C8" s="3" t="s">
        <v>36</v>
      </c>
      <c r="D8" s="3" t="s">
        <v>18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25</v>
      </c>
      <c r="L8" s="3"/>
      <c r="M8" s="3"/>
    </row>
    <row r="9" spans="1:13" ht="84">
      <c r="A9" s="3" t="s">
        <v>50</v>
      </c>
      <c r="B9" s="3" t="s">
        <v>35</v>
      </c>
      <c r="C9" s="3" t="s">
        <v>36</v>
      </c>
      <c r="D9" s="3" t="s">
        <v>18</v>
      </c>
      <c r="E9" s="3" t="s">
        <v>51</v>
      </c>
      <c r="F9" s="3" t="s">
        <v>52</v>
      </c>
      <c r="G9" s="3" t="s">
        <v>53</v>
      </c>
      <c r="H9" s="3" t="s">
        <v>15</v>
      </c>
      <c r="I9" s="3" t="s">
        <v>54</v>
      </c>
      <c r="J9" s="3" t="s">
        <v>55</v>
      </c>
      <c r="K9" s="3" t="s">
        <v>25</v>
      </c>
      <c r="L9" s="3" t="s">
        <v>56</v>
      </c>
      <c r="M9" s="3"/>
    </row>
    <row r="10" spans="1:13" ht="42">
      <c r="A10" s="3" t="s">
        <v>57</v>
      </c>
      <c r="B10" s="3" t="s">
        <v>35</v>
      </c>
      <c r="C10" s="3" t="s">
        <v>36</v>
      </c>
      <c r="D10" s="3" t="s">
        <v>18</v>
      </c>
      <c r="E10" s="3" t="s">
        <v>58</v>
      </c>
      <c r="F10" s="3" t="s">
        <v>59</v>
      </c>
      <c r="G10" s="3" t="s">
        <v>60</v>
      </c>
      <c r="H10" s="3" t="s">
        <v>61</v>
      </c>
      <c r="I10" s="3" t="s">
        <v>62</v>
      </c>
      <c r="J10" s="3" t="s">
        <v>63</v>
      </c>
      <c r="K10" s="3" t="s">
        <v>25</v>
      </c>
      <c r="L10" s="3" t="s">
        <v>64</v>
      </c>
      <c r="M10" s="3"/>
    </row>
    <row r="11" spans="1:13" ht="42">
      <c r="A11" s="3" t="s">
        <v>65</v>
      </c>
      <c r="B11" s="3" t="s">
        <v>35</v>
      </c>
      <c r="C11" s="3" t="s">
        <v>36</v>
      </c>
      <c r="D11" s="3" t="s">
        <v>18</v>
      </c>
      <c r="E11" s="3" t="s">
        <v>66</v>
      </c>
      <c r="F11" s="3" t="s">
        <v>67</v>
      </c>
      <c r="G11" s="3" t="s">
        <v>68</v>
      </c>
      <c r="H11" s="3" t="s">
        <v>69</v>
      </c>
      <c r="I11" s="3" t="s">
        <v>70</v>
      </c>
      <c r="J11" s="3" t="s">
        <v>71</v>
      </c>
      <c r="K11" s="3" t="s">
        <v>25</v>
      </c>
      <c r="L11" s="3" t="s">
        <v>72</v>
      </c>
      <c r="M11" s="3"/>
    </row>
    <row r="12" spans="1:13" ht="42">
      <c r="A12" s="3" t="s">
        <v>73</v>
      </c>
      <c r="B12" s="3" t="s">
        <v>35</v>
      </c>
      <c r="C12" s="3" t="s">
        <v>36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65</v>
      </c>
      <c r="I12" s="3" t="s">
        <v>78</v>
      </c>
      <c r="J12" s="3" t="s">
        <v>79</v>
      </c>
      <c r="K12" s="3" t="s">
        <v>25</v>
      </c>
      <c r="L12" s="3"/>
      <c r="M12" s="3"/>
    </row>
    <row r="13" spans="1:13" ht="42">
      <c r="A13" s="3" t="s">
        <v>80</v>
      </c>
      <c r="B13" s="3" t="s">
        <v>35</v>
      </c>
      <c r="C13" s="3" t="s">
        <v>36</v>
      </c>
      <c r="D13" s="3" t="s">
        <v>74</v>
      </c>
      <c r="E13" s="3" t="s">
        <v>81</v>
      </c>
      <c r="F13" s="3" t="s">
        <v>82</v>
      </c>
      <c r="G13" s="3" t="s">
        <v>83</v>
      </c>
      <c r="H13" s="3" t="s">
        <v>65</v>
      </c>
      <c r="I13" s="3" t="s">
        <v>84</v>
      </c>
      <c r="J13" s="3" t="s">
        <v>85</v>
      </c>
      <c r="K13" s="3" t="s">
        <v>25</v>
      </c>
      <c r="L13" s="3"/>
      <c r="M13" s="3"/>
    </row>
    <row r="14" spans="1:13" ht="56">
      <c r="A14" s="3" t="s">
        <v>86</v>
      </c>
      <c r="B14" s="3" t="s">
        <v>35</v>
      </c>
      <c r="C14" s="3" t="s">
        <v>36</v>
      </c>
      <c r="D14" s="3" t="s">
        <v>18</v>
      </c>
      <c r="E14" s="3" t="s">
        <v>87</v>
      </c>
      <c r="F14" s="3" t="s">
        <v>88</v>
      </c>
      <c r="G14" s="3" t="s">
        <v>89</v>
      </c>
      <c r="H14" s="3" t="s">
        <v>90</v>
      </c>
      <c r="I14" s="3" t="s">
        <v>91</v>
      </c>
      <c r="J14" s="3" t="s">
        <v>92</v>
      </c>
      <c r="K14" s="3" t="s">
        <v>25</v>
      </c>
      <c r="L14" s="3"/>
      <c r="M14" s="3"/>
    </row>
    <row r="15" spans="1:13" ht="56">
      <c r="A15" s="3" t="s">
        <v>93</v>
      </c>
      <c r="B15" s="3" t="s">
        <v>94</v>
      </c>
      <c r="C15" s="3" t="s">
        <v>95</v>
      </c>
      <c r="D15" s="3" t="s">
        <v>18</v>
      </c>
      <c r="E15" s="3" t="s">
        <v>96</v>
      </c>
      <c r="F15" s="3" t="s">
        <v>97</v>
      </c>
      <c r="G15" s="3" t="s">
        <v>98</v>
      </c>
      <c r="H15" s="3" t="s">
        <v>69</v>
      </c>
      <c r="I15" s="3" t="s">
        <v>99</v>
      </c>
      <c r="J15" s="3" t="s">
        <v>100</v>
      </c>
      <c r="K15" s="3" t="s">
        <v>25</v>
      </c>
      <c r="L15" s="3" t="s">
        <v>101</v>
      </c>
      <c r="M15" s="3"/>
    </row>
    <row r="16" spans="1:13" ht="42">
      <c r="A16" s="3" t="s">
        <v>102</v>
      </c>
      <c r="B16" s="3" t="s">
        <v>94</v>
      </c>
      <c r="C16" s="3" t="s">
        <v>95</v>
      </c>
      <c r="D16" s="3" t="s">
        <v>74</v>
      </c>
      <c r="E16" s="3" t="s">
        <v>103</v>
      </c>
      <c r="F16" s="3" t="s">
        <v>104</v>
      </c>
      <c r="G16" s="3" t="s">
        <v>105</v>
      </c>
      <c r="H16" s="3" t="s">
        <v>106</v>
      </c>
      <c r="I16" s="3" t="s">
        <v>107</v>
      </c>
      <c r="J16" s="3" t="s">
        <v>108</v>
      </c>
      <c r="K16" s="3" t="s">
        <v>25</v>
      </c>
      <c r="L16" s="3"/>
      <c r="M16" s="3"/>
    </row>
    <row r="17" spans="1:13" ht="42">
      <c r="A17" s="3" t="s">
        <v>109</v>
      </c>
      <c r="B17" s="3" t="s">
        <v>110</v>
      </c>
      <c r="C17" s="3" t="s">
        <v>95</v>
      </c>
      <c r="D17" s="3" t="s">
        <v>18</v>
      </c>
      <c r="E17" s="3" t="s">
        <v>111</v>
      </c>
      <c r="F17" s="3" t="s">
        <v>112</v>
      </c>
      <c r="G17" s="3" t="s">
        <v>113</v>
      </c>
      <c r="H17" s="3" t="s">
        <v>65</v>
      </c>
      <c r="I17" s="3" t="s">
        <v>114</v>
      </c>
      <c r="J17" s="3" t="s">
        <v>115</v>
      </c>
      <c r="K17" s="3" t="s">
        <v>25</v>
      </c>
      <c r="L17" s="3"/>
      <c r="M17" s="3"/>
    </row>
    <row r="18" spans="1:13" ht="56">
      <c r="A18" s="3" t="s">
        <v>116</v>
      </c>
      <c r="B18" s="3" t="s">
        <v>117</v>
      </c>
      <c r="C18" s="3" t="s">
        <v>95</v>
      </c>
      <c r="D18" s="3" t="s">
        <v>18</v>
      </c>
      <c r="E18" s="3" t="s">
        <v>118</v>
      </c>
      <c r="F18" s="3" t="s">
        <v>119</v>
      </c>
      <c r="G18" s="3" t="s">
        <v>120</v>
      </c>
      <c r="H18" s="3" t="s">
        <v>121</v>
      </c>
      <c r="I18" s="3" t="s">
        <v>122</v>
      </c>
      <c r="J18" s="3" t="s">
        <v>123</v>
      </c>
      <c r="K18" s="3" t="s">
        <v>25</v>
      </c>
      <c r="L18" s="3" t="s">
        <v>124</v>
      </c>
      <c r="M18" s="3"/>
    </row>
    <row r="19" spans="1:13" ht="56">
      <c r="A19" s="3" t="s">
        <v>125</v>
      </c>
      <c r="B19" s="3" t="s">
        <v>126</v>
      </c>
      <c r="C19" s="3" t="s">
        <v>95</v>
      </c>
      <c r="D19" s="3" t="s">
        <v>18</v>
      </c>
      <c r="E19" s="3" t="s">
        <v>127</v>
      </c>
      <c r="F19" s="3" t="s">
        <v>128</v>
      </c>
      <c r="G19" s="3" t="s">
        <v>129</v>
      </c>
      <c r="H19" s="3" t="s">
        <v>121</v>
      </c>
      <c r="I19" s="3" t="s">
        <v>130</v>
      </c>
      <c r="J19" s="3" t="s">
        <v>131</v>
      </c>
      <c r="K19" s="3" t="s">
        <v>25</v>
      </c>
      <c r="L19" s="3"/>
      <c r="M19" s="3"/>
    </row>
    <row r="20" spans="1:13" ht="56">
      <c r="A20" s="3" t="s">
        <v>132</v>
      </c>
      <c r="B20" s="3" t="s">
        <v>133</v>
      </c>
      <c r="C20" s="3" t="s">
        <v>95</v>
      </c>
      <c r="D20" s="3" t="s">
        <v>18</v>
      </c>
      <c r="E20" s="3" t="s">
        <v>134</v>
      </c>
      <c r="F20" s="3" t="s">
        <v>135</v>
      </c>
      <c r="G20" s="3" t="s">
        <v>136</v>
      </c>
      <c r="H20" s="3" t="s">
        <v>137</v>
      </c>
      <c r="I20" s="3" t="s">
        <v>138</v>
      </c>
      <c r="J20" s="3" t="s">
        <v>139</v>
      </c>
      <c r="K20" s="3" t="s">
        <v>25</v>
      </c>
      <c r="L20" s="3"/>
      <c r="M20" s="3"/>
    </row>
    <row r="21" spans="1:13" ht="70">
      <c r="A21" s="3" t="s">
        <v>140</v>
      </c>
      <c r="B21" s="3" t="s">
        <v>141</v>
      </c>
      <c r="C21" s="3" t="s">
        <v>95</v>
      </c>
      <c r="D21" s="3" t="s">
        <v>18</v>
      </c>
      <c r="E21" s="3" t="s">
        <v>142</v>
      </c>
      <c r="F21" s="3" t="s">
        <v>143</v>
      </c>
      <c r="G21" s="3" t="s">
        <v>144</v>
      </c>
      <c r="H21" s="3" t="s">
        <v>145</v>
      </c>
      <c r="I21" s="3" t="s">
        <v>146</v>
      </c>
      <c r="J21" s="3" t="s">
        <v>147</v>
      </c>
      <c r="K21" s="3" t="s">
        <v>25</v>
      </c>
      <c r="L21" s="3"/>
      <c r="M21" s="3"/>
    </row>
    <row r="22" spans="1:13" ht="56">
      <c r="A22" s="3" t="s">
        <v>148</v>
      </c>
      <c r="B22" s="3" t="s">
        <v>149</v>
      </c>
      <c r="C22" s="3" t="s">
        <v>150</v>
      </c>
      <c r="D22" s="3" t="s">
        <v>18</v>
      </c>
      <c r="E22" s="3" t="s">
        <v>151</v>
      </c>
      <c r="F22" s="3" t="s">
        <v>152</v>
      </c>
      <c r="G22" s="3" t="s">
        <v>153</v>
      </c>
      <c r="H22" s="3" t="s">
        <v>109</v>
      </c>
      <c r="I22" s="3" t="s">
        <v>154</v>
      </c>
      <c r="J22" s="3" t="s">
        <v>155</v>
      </c>
      <c r="K22" s="3" t="s">
        <v>25</v>
      </c>
      <c r="L22" s="3" t="s">
        <v>156</v>
      </c>
      <c r="M22" s="3"/>
    </row>
    <row r="23" spans="1:13" ht="42">
      <c r="A23" s="3" t="s">
        <v>157</v>
      </c>
      <c r="B23" s="3" t="s">
        <v>149</v>
      </c>
      <c r="C23" s="3" t="s">
        <v>150</v>
      </c>
      <c r="D23" s="3" t="s">
        <v>18</v>
      </c>
      <c r="E23" s="3" t="s">
        <v>158</v>
      </c>
      <c r="F23" s="3" t="s">
        <v>159</v>
      </c>
      <c r="G23" s="3" t="s">
        <v>160</v>
      </c>
      <c r="H23" s="3" t="s">
        <v>161</v>
      </c>
      <c r="I23" s="3" t="s">
        <v>162</v>
      </c>
      <c r="J23" s="3" t="s">
        <v>163</v>
      </c>
      <c r="K23" s="3" t="s">
        <v>25</v>
      </c>
      <c r="L23" s="3"/>
      <c r="M23" s="3"/>
    </row>
    <row r="24" spans="1:13" ht="56">
      <c r="A24" s="3" t="s">
        <v>164</v>
      </c>
      <c r="B24" s="3" t="s">
        <v>165</v>
      </c>
      <c r="C24" s="3" t="s">
        <v>150</v>
      </c>
      <c r="D24" s="3" t="s">
        <v>74</v>
      </c>
      <c r="E24" s="3" t="s">
        <v>166</v>
      </c>
      <c r="F24" s="3" t="s">
        <v>167</v>
      </c>
      <c r="G24" s="3" t="s">
        <v>168</v>
      </c>
      <c r="H24" s="3" t="s">
        <v>169</v>
      </c>
      <c r="I24" s="3" t="s">
        <v>170</v>
      </c>
      <c r="J24" s="3" t="s">
        <v>171</v>
      </c>
      <c r="K24" s="3" t="s">
        <v>25</v>
      </c>
      <c r="L24" s="3"/>
      <c r="M24" s="3"/>
    </row>
    <row r="25" spans="1:13" ht="56">
      <c r="A25" s="3" t="s">
        <v>172</v>
      </c>
      <c r="B25" s="3" t="s">
        <v>173</v>
      </c>
      <c r="C25" s="3" t="s">
        <v>150</v>
      </c>
      <c r="D25" s="3" t="s">
        <v>18</v>
      </c>
      <c r="E25" s="3" t="s">
        <v>174</v>
      </c>
      <c r="F25" s="3" t="s">
        <v>175</v>
      </c>
      <c r="G25" s="3" t="s">
        <v>176</v>
      </c>
      <c r="H25" s="3" t="s">
        <v>15</v>
      </c>
      <c r="I25" s="3" t="s">
        <v>177</v>
      </c>
      <c r="J25" s="3" t="s">
        <v>178</v>
      </c>
      <c r="K25" s="3" t="s">
        <v>25</v>
      </c>
      <c r="L25" s="3"/>
      <c r="M25" s="3"/>
    </row>
    <row r="26" spans="1:13" ht="42">
      <c r="A26" s="3" t="s">
        <v>179</v>
      </c>
      <c r="B26" s="3" t="s">
        <v>180</v>
      </c>
      <c r="C26" s="3" t="s">
        <v>181</v>
      </c>
      <c r="D26" s="3" t="s">
        <v>18</v>
      </c>
      <c r="E26" s="3" t="s">
        <v>182</v>
      </c>
      <c r="F26" s="3" t="s">
        <v>183</v>
      </c>
      <c r="G26" s="3" t="s">
        <v>184</v>
      </c>
      <c r="H26" s="3" t="s">
        <v>185</v>
      </c>
      <c r="I26" s="3" t="s">
        <v>186</v>
      </c>
      <c r="J26" s="3" t="s">
        <v>187</v>
      </c>
      <c r="K26" s="3" t="s">
        <v>25</v>
      </c>
      <c r="L26" s="3"/>
      <c r="M26" s="3"/>
    </row>
    <row r="27" spans="1:13" ht="28">
      <c r="A27" s="3" t="s">
        <v>188</v>
      </c>
      <c r="B27" s="3" t="s">
        <v>180</v>
      </c>
      <c r="C27" s="3" t="s">
        <v>181</v>
      </c>
      <c r="D27" s="3" t="s">
        <v>18</v>
      </c>
      <c r="E27" s="3" t="s">
        <v>189</v>
      </c>
      <c r="F27" s="3" t="s">
        <v>190</v>
      </c>
      <c r="G27" s="3" t="s">
        <v>191</v>
      </c>
      <c r="H27" s="3" t="s">
        <v>192</v>
      </c>
      <c r="I27" s="3" t="s">
        <v>193</v>
      </c>
      <c r="J27" s="3" t="s">
        <v>194</v>
      </c>
      <c r="K27" s="3" t="s">
        <v>25</v>
      </c>
      <c r="L27" s="3" t="s">
        <v>195</v>
      </c>
      <c r="M27" s="3"/>
    </row>
    <row r="28" spans="1:13" ht="42">
      <c r="A28" s="3" t="s">
        <v>196</v>
      </c>
      <c r="B28" s="3" t="s">
        <v>180</v>
      </c>
      <c r="C28" s="3" t="s">
        <v>181</v>
      </c>
      <c r="D28" s="3" t="s">
        <v>74</v>
      </c>
      <c r="E28" s="3" t="s">
        <v>197</v>
      </c>
      <c r="F28" s="3" t="s">
        <v>198</v>
      </c>
      <c r="G28" s="3" t="s">
        <v>199</v>
      </c>
      <c r="H28" s="3" t="s">
        <v>200</v>
      </c>
      <c r="I28" s="3" t="s">
        <v>201</v>
      </c>
      <c r="J28" s="3" t="s">
        <v>202</v>
      </c>
      <c r="K28" s="3" t="s">
        <v>25</v>
      </c>
      <c r="L28" s="3"/>
      <c r="M28" s="3"/>
    </row>
    <row r="29" spans="1:13" ht="42">
      <c r="A29" s="3" t="s">
        <v>203</v>
      </c>
      <c r="B29" s="3" t="s">
        <v>180</v>
      </c>
      <c r="C29" s="3" t="s">
        <v>181</v>
      </c>
      <c r="D29" s="3" t="s">
        <v>74</v>
      </c>
      <c r="E29" s="3" t="s">
        <v>204</v>
      </c>
      <c r="F29" s="3" t="s">
        <v>205</v>
      </c>
      <c r="G29" s="3" t="s">
        <v>206</v>
      </c>
      <c r="H29" s="3" t="s">
        <v>207</v>
      </c>
      <c r="I29" s="3" t="s">
        <v>208</v>
      </c>
      <c r="J29" s="3" t="s">
        <v>209</v>
      </c>
      <c r="K29" s="3" t="s">
        <v>25</v>
      </c>
      <c r="L29" s="3"/>
      <c r="M29" s="3"/>
    </row>
    <row r="30" spans="1:13" ht="56">
      <c r="A30" s="3" t="s">
        <v>210</v>
      </c>
      <c r="B30" s="3" t="s">
        <v>211</v>
      </c>
      <c r="C30" s="3" t="s">
        <v>181</v>
      </c>
      <c r="D30" s="3" t="s">
        <v>18</v>
      </c>
      <c r="E30" s="3" t="s">
        <v>212</v>
      </c>
      <c r="F30" s="3" t="s">
        <v>213</v>
      </c>
      <c r="G30" s="3" t="s">
        <v>214</v>
      </c>
      <c r="H30" s="3" t="s">
        <v>207</v>
      </c>
      <c r="I30" s="3" t="s">
        <v>215</v>
      </c>
      <c r="J30" s="3" t="s">
        <v>216</v>
      </c>
      <c r="K30" s="3" t="s">
        <v>25</v>
      </c>
      <c r="L30" s="3" t="s">
        <v>217</v>
      </c>
      <c r="M30" s="3"/>
    </row>
    <row r="31" spans="1:13" ht="56">
      <c r="A31" s="3" t="s">
        <v>218</v>
      </c>
      <c r="B31" s="3" t="s">
        <v>211</v>
      </c>
      <c r="C31" s="3" t="s">
        <v>181</v>
      </c>
      <c r="D31" s="3" t="s">
        <v>18</v>
      </c>
      <c r="E31" s="3" t="s">
        <v>219</v>
      </c>
      <c r="F31" s="3" t="s">
        <v>220</v>
      </c>
      <c r="G31" s="3" t="s">
        <v>214</v>
      </c>
      <c r="H31" s="3" t="s">
        <v>221</v>
      </c>
      <c r="I31" s="3" t="s">
        <v>222</v>
      </c>
      <c r="J31" s="3" t="s">
        <v>223</v>
      </c>
      <c r="K31" s="3" t="s">
        <v>25</v>
      </c>
      <c r="L31" s="3"/>
      <c r="M31" s="3"/>
    </row>
    <row r="32" spans="1:13" ht="56">
      <c r="A32" s="3" t="s">
        <v>224</v>
      </c>
      <c r="B32" s="3" t="s">
        <v>211</v>
      </c>
      <c r="C32" s="3" t="s">
        <v>181</v>
      </c>
      <c r="D32" s="3" t="s">
        <v>18</v>
      </c>
      <c r="E32" s="3" t="s">
        <v>225</v>
      </c>
      <c r="F32" s="3" t="s">
        <v>226</v>
      </c>
      <c r="G32" s="3" t="s">
        <v>214</v>
      </c>
      <c r="H32" s="3" t="s">
        <v>227</v>
      </c>
      <c r="I32" s="3" t="s">
        <v>228</v>
      </c>
      <c r="J32" s="3" t="s">
        <v>229</v>
      </c>
      <c r="K32" s="3" t="s">
        <v>25</v>
      </c>
      <c r="L32" s="3"/>
      <c r="M32" s="3"/>
    </row>
    <row r="33" spans="1:13" ht="56">
      <c r="A33" s="3" t="s">
        <v>230</v>
      </c>
      <c r="B33" s="3" t="s">
        <v>211</v>
      </c>
      <c r="C33" s="3" t="s">
        <v>181</v>
      </c>
      <c r="D33" s="3" t="s">
        <v>74</v>
      </c>
      <c r="E33" s="3" t="s">
        <v>231</v>
      </c>
      <c r="F33" s="3" t="s">
        <v>232</v>
      </c>
      <c r="G33" s="3" t="s">
        <v>214</v>
      </c>
      <c r="H33" s="3" t="s">
        <v>233</v>
      </c>
      <c r="I33" s="3" t="s">
        <v>234</v>
      </c>
      <c r="J33" s="3" t="s">
        <v>235</v>
      </c>
      <c r="K33" s="3" t="s">
        <v>25</v>
      </c>
      <c r="L33" s="3"/>
      <c r="M33" s="3"/>
    </row>
    <row r="34" spans="1:13" ht="56">
      <c r="A34" s="3" t="s">
        <v>236</v>
      </c>
      <c r="B34" s="3" t="s">
        <v>237</v>
      </c>
      <c r="C34" s="3" t="s">
        <v>17</v>
      </c>
      <c r="D34" s="3" t="s">
        <v>18</v>
      </c>
      <c r="E34" s="3" t="s">
        <v>238</v>
      </c>
      <c r="F34" s="3" t="s">
        <v>239</v>
      </c>
      <c r="G34" s="3" t="s">
        <v>240</v>
      </c>
      <c r="H34" s="3" t="s">
        <v>241</v>
      </c>
      <c r="I34" s="3" t="s">
        <v>242</v>
      </c>
      <c r="J34" s="3" t="s">
        <v>243</v>
      </c>
      <c r="K34" s="3" t="s">
        <v>25</v>
      </c>
      <c r="L34" s="3"/>
      <c r="M34" s="3"/>
    </row>
    <row r="35" spans="1:13" ht="42">
      <c r="A35" s="3" t="s">
        <v>244</v>
      </c>
      <c r="B35" s="3" t="s">
        <v>237</v>
      </c>
      <c r="C35" s="3" t="s">
        <v>17</v>
      </c>
      <c r="D35" s="3" t="s">
        <v>18</v>
      </c>
      <c r="E35" s="3" t="s">
        <v>245</v>
      </c>
      <c r="F35" s="3" t="s">
        <v>246</v>
      </c>
      <c r="G35" s="3" t="s">
        <v>247</v>
      </c>
      <c r="H35" s="3" t="s">
        <v>248</v>
      </c>
      <c r="I35" s="3" t="s">
        <v>249</v>
      </c>
      <c r="J35" s="3" t="s">
        <v>250</v>
      </c>
      <c r="K35" s="3" t="s">
        <v>25</v>
      </c>
      <c r="L35" s="3"/>
      <c r="M35" s="3"/>
    </row>
    <row r="36" spans="1:13" ht="70">
      <c r="A36" s="3" t="s">
        <v>251</v>
      </c>
      <c r="B36" s="3" t="s">
        <v>237</v>
      </c>
      <c r="C36" s="3" t="s">
        <v>17</v>
      </c>
      <c r="D36" s="3" t="s">
        <v>18</v>
      </c>
      <c r="E36" s="3" t="s">
        <v>252</v>
      </c>
      <c r="F36" s="3" t="s">
        <v>253</v>
      </c>
      <c r="G36" s="3" t="s">
        <v>254</v>
      </c>
      <c r="H36" s="3" t="s">
        <v>255</v>
      </c>
      <c r="I36" s="3" t="s">
        <v>256</v>
      </c>
      <c r="J36" s="3" t="s">
        <v>257</v>
      </c>
      <c r="K36" s="3" t="s">
        <v>25</v>
      </c>
      <c r="L36" s="3"/>
      <c r="M36" s="3"/>
    </row>
    <row r="37" spans="1:13" ht="42">
      <c r="A37" s="3" t="s">
        <v>258</v>
      </c>
      <c r="B37" s="3" t="s">
        <v>237</v>
      </c>
      <c r="C37" s="3" t="s">
        <v>17</v>
      </c>
      <c r="D37" s="3" t="s">
        <v>74</v>
      </c>
      <c r="E37" s="3" t="s">
        <v>259</v>
      </c>
      <c r="F37" s="3" t="s">
        <v>260</v>
      </c>
      <c r="G37" s="3" t="s">
        <v>261</v>
      </c>
      <c r="H37" s="3" t="s">
        <v>179</v>
      </c>
      <c r="I37" s="3" t="s">
        <v>262</v>
      </c>
      <c r="J37" s="3" t="s">
        <v>263</v>
      </c>
      <c r="K37" s="3" t="s">
        <v>25</v>
      </c>
      <c r="L37" s="3"/>
      <c r="M37" s="3"/>
    </row>
    <row r="38" spans="1:13" ht="56">
      <c r="A38" s="3" t="s">
        <v>264</v>
      </c>
      <c r="B38" s="3" t="s">
        <v>265</v>
      </c>
      <c r="C38" s="3" t="s">
        <v>17</v>
      </c>
      <c r="D38" s="3" t="s">
        <v>74</v>
      </c>
      <c r="E38" s="3" t="s">
        <v>266</v>
      </c>
      <c r="F38" s="3" t="s">
        <v>267</v>
      </c>
      <c r="G38" s="3" t="s">
        <v>268</v>
      </c>
      <c r="H38" s="3" t="s">
        <v>233</v>
      </c>
      <c r="I38" s="3" t="s">
        <v>269</v>
      </c>
      <c r="J38" s="3" t="s">
        <v>270</v>
      </c>
      <c r="K38" s="3" t="s">
        <v>25</v>
      </c>
      <c r="L38" s="3"/>
      <c r="M38" s="3"/>
    </row>
    <row r="39" spans="1:13" ht="70">
      <c r="A39" s="3" t="s">
        <v>271</v>
      </c>
      <c r="B39" s="3" t="s">
        <v>265</v>
      </c>
      <c r="C39" s="3" t="s">
        <v>17</v>
      </c>
      <c r="D39" s="3" t="s">
        <v>18</v>
      </c>
      <c r="E39" s="3" t="s">
        <v>272</v>
      </c>
      <c r="F39" s="3" t="s">
        <v>273</v>
      </c>
      <c r="G39" s="3" t="s">
        <v>274</v>
      </c>
      <c r="H39" s="3" t="s">
        <v>275</v>
      </c>
      <c r="I39" s="3" t="s">
        <v>276</v>
      </c>
      <c r="J39" s="3" t="s">
        <v>277</v>
      </c>
      <c r="K39" s="3" t="s">
        <v>25</v>
      </c>
      <c r="L39" s="3"/>
      <c r="M39" s="3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</sheetData>
  <mergeCells count="2">
    <mergeCell ref="A1:M1"/>
    <mergeCell ref="A2:M2"/>
  </mergeCells>
  <conditionalFormatting sqref="K5:K39">
    <cfRule type="expression" dxfId="4" priority="1">
      <formula>K5="Done"</formula>
    </cfRule>
    <cfRule type="expression" dxfId="3" priority="2">
      <formula>K5="Blocked"</formula>
    </cfRule>
    <cfRule type="expression" dxfId="2" priority="3">
      <formula>K5="In Progress"</formula>
    </cfRule>
  </conditionalFormatting>
  <dataValidations count="2">
    <dataValidation type="list" sqref="K5:K39" xr:uid="{00000000-0002-0000-0000-000000000000}">
      <formula1>"Not Started,In Progress,Blocked,Done"</formula1>
    </dataValidation>
    <dataValidation type="list" sqref="D5:D39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"/>
  <sheetViews>
    <sheetView workbookViewId="0"/>
  </sheetViews>
  <sheetFormatPr defaultRowHeight="14"/>
  <cols>
    <col min="1" max="1" width="24" customWidth="1"/>
    <col min="2" max="4" width="38" customWidth="1"/>
    <col min="5" max="5" width="30" customWidth="1"/>
    <col min="6" max="6" width="36" customWidth="1"/>
  </cols>
  <sheetData>
    <row r="1" spans="1:13" ht="20">
      <c r="A1" s="4" t="s">
        <v>278</v>
      </c>
      <c r="B1" s="4"/>
      <c r="C1" s="4"/>
      <c r="D1" s="4"/>
      <c r="E1" s="4"/>
      <c r="F1" s="4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279</v>
      </c>
      <c r="B3" s="1" t="s">
        <v>280</v>
      </c>
      <c r="C3" s="1" t="s">
        <v>281</v>
      </c>
      <c r="D3" s="1" t="s">
        <v>282</v>
      </c>
      <c r="E3" s="1" t="s">
        <v>283</v>
      </c>
      <c r="F3" s="1" t="s">
        <v>284</v>
      </c>
      <c r="G3" s="2"/>
      <c r="H3" s="2"/>
      <c r="I3" s="2"/>
      <c r="J3" s="2"/>
      <c r="K3" s="2"/>
      <c r="L3" s="2"/>
      <c r="M3" s="2"/>
    </row>
    <row r="4" spans="1:13" ht="42">
      <c r="A4" s="3" t="s">
        <v>285</v>
      </c>
      <c r="B4" s="3" t="s">
        <v>286</v>
      </c>
      <c r="C4" s="3" t="s">
        <v>287</v>
      </c>
      <c r="D4" s="3" t="s">
        <v>288</v>
      </c>
      <c r="E4" s="3" t="s">
        <v>289</v>
      </c>
      <c r="F4" s="3" t="s">
        <v>290</v>
      </c>
      <c r="G4" s="2"/>
      <c r="H4" s="2"/>
      <c r="I4" s="2"/>
      <c r="J4" s="2"/>
      <c r="K4" s="2"/>
      <c r="L4" s="2"/>
      <c r="M4" s="2"/>
    </row>
    <row r="5" spans="1:13" ht="56">
      <c r="A5" s="3" t="s">
        <v>291</v>
      </c>
      <c r="B5" s="3" t="s">
        <v>292</v>
      </c>
      <c r="C5" s="3" t="s">
        <v>293</v>
      </c>
      <c r="D5" s="3" t="s">
        <v>294</v>
      </c>
      <c r="E5" s="3" t="s">
        <v>295</v>
      </c>
      <c r="F5" s="3" t="s">
        <v>296</v>
      </c>
      <c r="G5" s="2"/>
      <c r="H5" s="2"/>
      <c r="I5" s="2"/>
      <c r="J5" s="2"/>
      <c r="K5" s="2"/>
      <c r="L5" s="2"/>
      <c r="M5" s="2"/>
    </row>
    <row r="6" spans="1:13" ht="28">
      <c r="A6" s="3" t="s">
        <v>297</v>
      </c>
      <c r="B6" s="3" t="s">
        <v>298</v>
      </c>
      <c r="C6" s="3" t="s">
        <v>299</v>
      </c>
      <c r="D6" s="3" t="s">
        <v>300</v>
      </c>
      <c r="E6" s="3" t="s">
        <v>301</v>
      </c>
      <c r="F6" s="3" t="s">
        <v>302</v>
      </c>
      <c r="G6" s="2"/>
      <c r="H6" s="2"/>
      <c r="I6" s="2"/>
      <c r="J6" s="2"/>
      <c r="K6" s="2"/>
      <c r="L6" s="2"/>
      <c r="M6" s="2"/>
    </row>
    <row r="7" spans="1:13">
      <c r="A7" s="3" t="s">
        <v>303</v>
      </c>
      <c r="B7" s="3" t="s">
        <v>304</v>
      </c>
      <c r="C7" s="3" t="s">
        <v>305</v>
      </c>
      <c r="D7" s="3" t="s">
        <v>306</v>
      </c>
      <c r="E7" s="3" t="s">
        <v>307</v>
      </c>
      <c r="F7" s="3" t="s">
        <v>308</v>
      </c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6" t="s">
        <v>309</v>
      </c>
      <c r="B9" s="6"/>
      <c r="C9" s="6"/>
      <c r="D9" s="6"/>
      <c r="E9" s="6"/>
      <c r="F9" s="6"/>
      <c r="G9" s="2"/>
      <c r="H9" s="2"/>
      <c r="I9" s="2"/>
      <c r="J9" s="2"/>
      <c r="K9" s="2"/>
      <c r="L9" s="2"/>
      <c r="M9" s="2"/>
    </row>
    <row r="10" spans="1:13">
      <c r="A10" s="1" t="s">
        <v>310</v>
      </c>
      <c r="B10" s="1" t="s">
        <v>311</v>
      </c>
      <c r="C10" s="1" t="s">
        <v>312</v>
      </c>
      <c r="D10" s="1" t="s">
        <v>313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3" t="s">
        <v>314</v>
      </c>
      <c r="B11" s="3" t="s">
        <v>315</v>
      </c>
      <c r="C11" s="3" t="s">
        <v>316</v>
      </c>
      <c r="D11" s="3" t="s">
        <v>317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3" t="s">
        <v>314</v>
      </c>
      <c r="B12" s="3" t="s">
        <v>318</v>
      </c>
      <c r="C12" s="3" t="s">
        <v>319</v>
      </c>
      <c r="D12" s="3" t="s">
        <v>320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3" t="s">
        <v>314</v>
      </c>
      <c r="B13" s="3" t="s">
        <v>321</v>
      </c>
      <c r="C13" s="3" t="s">
        <v>322</v>
      </c>
      <c r="D13" s="3" t="s">
        <v>323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ht="28">
      <c r="A14" s="3" t="s">
        <v>324</v>
      </c>
      <c r="B14" s="3" t="s">
        <v>325</v>
      </c>
      <c r="C14" s="3" t="s">
        <v>316</v>
      </c>
      <c r="D14" s="3" t="s">
        <v>326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3" t="s">
        <v>324</v>
      </c>
      <c r="B15" s="3" t="s">
        <v>327</v>
      </c>
      <c r="C15" s="3" t="s">
        <v>328</v>
      </c>
      <c r="D15" s="3" t="s">
        <v>329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3" t="s">
        <v>324</v>
      </c>
      <c r="B16" s="3" t="s">
        <v>330</v>
      </c>
      <c r="C16" s="3" t="s">
        <v>331</v>
      </c>
      <c r="D16" s="3" t="s">
        <v>332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3" t="s">
        <v>324</v>
      </c>
      <c r="B17" s="3" t="s">
        <v>333</v>
      </c>
      <c r="C17" s="3" t="s">
        <v>331</v>
      </c>
      <c r="D17" s="3" t="s">
        <v>334</v>
      </c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3" t="s">
        <v>324</v>
      </c>
      <c r="B18" s="3" t="s">
        <v>335</v>
      </c>
      <c r="C18" s="3" t="s">
        <v>336</v>
      </c>
      <c r="D18" s="3" t="s">
        <v>337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3" t="s">
        <v>324</v>
      </c>
      <c r="B19" s="3" t="s">
        <v>338</v>
      </c>
      <c r="C19" s="3" t="s">
        <v>339</v>
      </c>
      <c r="D19" s="3" t="s">
        <v>340</v>
      </c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3" t="s">
        <v>324</v>
      </c>
      <c r="B20" s="3" t="s">
        <v>341</v>
      </c>
      <c r="C20" s="3" t="s">
        <v>319</v>
      </c>
      <c r="D20" s="3" t="s">
        <v>342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3" t="s">
        <v>324</v>
      </c>
      <c r="B21" s="3" t="s">
        <v>343</v>
      </c>
      <c r="C21" s="3" t="s">
        <v>322</v>
      </c>
      <c r="D21" s="3" t="s">
        <v>344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6" t="s">
        <v>345</v>
      </c>
      <c r="B23" s="6"/>
      <c r="C23" s="6"/>
      <c r="D23" s="6"/>
      <c r="E23" s="6"/>
      <c r="F23" s="6"/>
      <c r="G23" s="2"/>
      <c r="H23" s="2"/>
      <c r="I23" s="2"/>
      <c r="J23" s="2"/>
      <c r="K23" s="2"/>
      <c r="L23" s="2"/>
      <c r="M23" s="2"/>
    </row>
    <row r="24" spans="1:13">
      <c r="A24" s="1" t="s">
        <v>346</v>
      </c>
      <c r="B24" s="1" t="s">
        <v>347</v>
      </c>
      <c r="C24" s="1" t="s">
        <v>348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42">
      <c r="A25" s="3" t="s">
        <v>349</v>
      </c>
      <c r="B25" s="3" t="s">
        <v>350</v>
      </c>
      <c r="C25" s="3" t="s">
        <v>351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28">
      <c r="A26" s="3" t="s">
        <v>352</v>
      </c>
      <c r="B26" s="3" t="s">
        <v>353</v>
      </c>
      <c r="C26" s="3" t="s">
        <v>354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8">
      <c r="A27" s="3" t="s">
        <v>355</v>
      </c>
      <c r="B27" s="3" t="s">
        <v>356</v>
      </c>
      <c r="C27" s="3" t="s">
        <v>357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8">
      <c r="A28" s="3" t="s">
        <v>358</v>
      </c>
      <c r="B28" s="3" t="s">
        <v>359</v>
      </c>
      <c r="C28" s="3" t="s">
        <v>360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3" t="s">
        <v>361</v>
      </c>
      <c r="B29" s="3" t="s">
        <v>362</v>
      </c>
      <c r="C29" s="3" t="s">
        <v>363</v>
      </c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28">
      <c r="A30" s="3" t="s">
        <v>364</v>
      </c>
      <c r="B30" s="3" t="s">
        <v>365</v>
      </c>
      <c r="C30" s="3" t="s">
        <v>366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</sheetData>
  <mergeCells count="3">
    <mergeCell ref="A1:F1"/>
    <mergeCell ref="A9:F9"/>
    <mergeCell ref="A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"/>
  <sheetViews>
    <sheetView workbookViewId="0"/>
  </sheetViews>
  <sheetFormatPr defaultRowHeight="14"/>
  <cols>
    <col min="1" max="1" width="28" customWidth="1"/>
    <col min="2" max="2" width="24" customWidth="1"/>
    <col min="3" max="3" width="38" customWidth="1"/>
    <col min="4" max="4" width="46" customWidth="1"/>
    <col min="5" max="5" width="22" customWidth="1"/>
    <col min="6" max="6" width="34" customWidth="1"/>
    <col min="7" max="7" width="40" customWidth="1"/>
    <col min="8" max="8" width="42" customWidth="1"/>
  </cols>
  <sheetData>
    <row r="1" spans="1:13" ht="20">
      <c r="A1" s="4" t="s">
        <v>367</v>
      </c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368</v>
      </c>
      <c r="B3" s="1" t="s">
        <v>369</v>
      </c>
      <c r="C3" s="1" t="s">
        <v>370</v>
      </c>
      <c r="D3" s="1" t="s">
        <v>371</v>
      </c>
      <c r="E3" s="1" t="s">
        <v>372</v>
      </c>
      <c r="F3" s="1" t="s">
        <v>373</v>
      </c>
      <c r="G3" s="1" t="s">
        <v>374</v>
      </c>
      <c r="H3" s="1" t="s">
        <v>375</v>
      </c>
      <c r="I3" s="2"/>
      <c r="J3" s="2"/>
      <c r="K3" s="2"/>
      <c r="L3" s="2"/>
      <c r="M3" s="2"/>
    </row>
    <row r="4" spans="1:13" ht="42">
      <c r="A4" s="3" t="s">
        <v>376</v>
      </c>
      <c r="B4" s="3" t="s">
        <v>377</v>
      </c>
      <c r="C4" s="3" t="s">
        <v>378</v>
      </c>
      <c r="D4" s="3" t="s">
        <v>379</v>
      </c>
      <c r="E4" s="3" t="s">
        <v>380</v>
      </c>
      <c r="F4" s="3" t="s">
        <v>381</v>
      </c>
      <c r="G4" s="3" t="s">
        <v>382</v>
      </c>
      <c r="H4" s="3" t="s">
        <v>383</v>
      </c>
      <c r="I4" s="2"/>
      <c r="J4" s="2"/>
      <c r="K4" s="2"/>
      <c r="L4" s="2"/>
      <c r="M4" s="2"/>
    </row>
    <row r="5" spans="1:13" ht="28">
      <c r="A5" s="3" t="s">
        <v>384</v>
      </c>
      <c r="B5" s="3" t="s">
        <v>385</v>
      </c>
      <c r="C5" s="3" t="s">
        <v>386</v>
      </c>
      <c r="D5" s="3" t="s">
        <v>387</v>
      </c>
      <c r="E5" s="3" t="s">
        <v>388</v>
      </c>
      <c r="F5" s="3" t="s">
        <v>389</v>
      </c>
      <c r="G5" s="3" t="s">
        <v>390</v>
      </c>
      <c r="H5" s="3" t="s">
        <v>391</v>
      </c>
      <c r="I5" s="2"/>
      <c r="J5" s="2"/>
      <c r="K5" s="2"/>
      <c r="L5" s="2"/>
      <c r="M5" s="2"/>
    </row>
    <row r="6" spans="1:13" ht="42">
      <c r="A6" s="3" t="s">
        <v>392</v>
      </c>
      <c r="B6" s="3" t="s">
        <v>393</v>
      </c>
      <c r="C6" s="3" t="s">
        <v>394</v>
      </c>
      <c r="D6" s="3" t="s">
        <v>395</v>
      </c>
      <c r="E6" s="3" t="s">
        <v>396</v>
      </c>
      <c r="F6" s="3" t="s">
        <v>397</v>
      </c>
      <c r="G6" s="3" t="s">
        <v>398</v>
      </c>
      <c r="H6" s="3" t="s">
        <v>399</v>
      </c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6" t="s">
        <v>400</v>
      </c>
      <c r="B8" s="6"/>
      <c r="C8" s="6"/>
      <c r="D8" s="6"/>
      <c r="E8" s="6"/>
      <c r="F8" s="6"/>
      <c r="G8" s="6"/>
      <c r="H8" s="6"/>
      <c r="I8" s="2"/>
      <c r="J8" s="2"/>
      <c r="K8" s="2"/>
      <c r="L8" s="2"/>
      <c r="M8" s="2"/>
    </row>
    <row r="9" spans="1:13">
      <c r="A9" s="1" t="s">
        <v>401</v>
      </c>
      <c r="B9" s="1" t="s">
        <v>402</v>
      </c>
      <c r="C9" s="1" t="s">
        <v>403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28">
      <c r="A10" s="3" t="s">
        <v>404</v>
      </c>
      <c r="B10" s="3" t="s">
        <v>405</v>
      </c>
      <c r="C10" s="3" t="s">
        <v>406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8">
      <c r="A11" s="3" t="s">
        <v>407</v>
      </c>
      <c r="B11" s="3" t="s">
        <v>408</v>
      </c>
      <c r="C11" s="3" t="s">
        <v>409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3" t="s">
        <v>410</v>
      </c>
      <c r="B12" s="3" t="s">
        <v>411</v>
      </c>
      <c r="C12" s="3" t="s">
        <v>412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3" t="s">
        <v>413</v>
      </c>
      <c r="B13" s="3" t="s">
        <v>414</v>
      </c>
      <c r="C13" s="3" t="s">
        <v>415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28">
      <c r="A14" s="3" t="s">
        <v>416</v>
      </c>
      <c r="B14" s="3" t="s">
        <v>417</v>
      </c>
      <c r="C14" s="3" t="s">
        <v>418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</sheetData>
  <mergeCells count="2">
    <mergeCell ref="A1:H1"/>
    <mergeCell ref="A8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0"/>
  <sheetViews>
    <sheetView workbookViewId="0"/>
  </sheetViews>
  <sheetFormatPr defaultRowHeight="14"/>
  <cols>
    <col min="1" max="1" width="28" customWidth="1"/>
    <col min="2" max="2" width="44" customWidth="1"/>
    <col min="3" max="3" width="34" customWidth="1"/>
    <col min="4" max="4" width="46" customWidth="1"/>
    <col min="5" max="5" width="42" customWidth="1"/>
    <col min="6" max="6" width="14" customWidth="1"/>
    <col min="7" max="7" width="30" customWidth="1"/>
  </cols>
  <sheetData>
    <row r="1" spans="1:13" ht="20">
      <c r="A1" s="4" t="s">
        <v>419</v>
      </c>
      <c r="B1" s="4"/>
      <c r="C1" s="4"/>
      <c r="D1" s="4"/>
      <c r="E1" s="4"/>
      <c r="F1" s="4"/>
      <c r="G1" s="4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420</v>
      </c>
      <c r="B3" s="1" t="s">
        <v>421</v>
      </c>
      <c r="C3" s="1" t="s">
        <v>422</v>
      </c>
      <c r="D3" s="1" t="s">
        <v>423</v>
      </c>
      <c r="E3" s="1" t="s">
        <v>424</v>
      </c>
      <c r="F3" s="1" t="s">
        <v>12</v>
      </c>
      <c r="G3" s="1" t="s">
        <v>313</v>
      </c>
      <c r="H3" s="2"/>
      <c r="I3" s="2"/>
      <c r="J3" s="2"/>
      <c r="K3" s="2"/>
      <c r="L3" s="2"/>
      <c r="M3" s="2"/>
    </row>
    <row r="4" spans="1:13" ht="28">
      <c r="A4" s="3" t="s">
        <v>425</v>
      </c>
      <c r="B4" s="3" t="s">
        <v>426</v>
      </c>
      <c r="C4" s="3" t="s">
        <v>427</v>
      </c>
      <c r="D4" s="3" t="s">
        <v>428</v>
      </c>
      <c r="E4" s="3" t="s">
        <v>429</v>
      </c>
      <c r="F4" s="3" t="s">
        <v>25</v>
      </c>
      <c r="G4" s="3"/>
      <c r="H4" s="2"/>
      <c r="I4" s="2"/>
      <c r="J4" s="2"/>
      <c r="K4" s="2"/>
      <c r="L4" s="2"/>
      <c r="M4" s="2"/>
    </row>
    <row r="5" spans="1:13" ht="28">
      <c r="A5" s="3" t="s">
        <v>430</v>
      </c>
      <c r="B5" s="3" t="s">
        <v>431</v>
      </c>
      <c r="C5" s="3" t="s">
        <v>432</v>
      </c>
      <c r="D5" s="3" t="s">
        <v>433</v>
      </c>
      <c r="E5" s="3" t="s">
        <v>434</v>
      </c>
      <c r="F5" s="3" t="s">
        <v>25</v>
      </c>
      <c r="G5" s="3"/>
      <c r="H5" s="2"/>
      <c r="I5" s="2"/>
      <c r="J5" s="2"/>
      <c r="K5" s="2"/>
      <c r="L5" s="2"/>
      <c r="M5" s="2"/>
    </row>
    <row r="6" spans="1:13" ht="28">
      <c r="A6" s="3" t="s">
        <v>435</v>
      </c>
      <c r="B6" s="3" t="s">
        <v>436</v>
      </c>
      <c r="C6" s="3" t="s">
        <v>437</v>
      </c>
      <c r="D6" s="3" t="s">
        <v>438</v>
      </c>
      <c r="E6" s="3" t="s">
        <v>439</v>
      </c>
      <c r="F6" s="3" t="s">
        <v>25</v>
      </c>
      <c r="G6" s="3"/>
      <c r="H6" s="2"/>
      <c r="I6" s="2"/>
      <c r="J6" s="2"/>
      <c r="K6" s="2"/>
      <c r="L6" s="2"/>
      <c r="M6" s="2"/>
    </row>
    <row r="7" spans="1:13" ht="28">
      <c r="A7" s="3" t="s">
        <v>440</v>
      </c>
      <c r="B7" s="3" t="s">
        <v>441</v>
      </c>
      <c r="C7" s="3" t="s">
        <v>442</v>
      </c>
      <c r="D7" s="3" t="s">
        <v>443</v>
      </c>
      <c r="E7" s="3" t="s">
        <v>444</v>
      </c>
      <c r="F7" s="3" t="s">
        <v>25</v>
      </c>
      <c r="G7" s="3"/>
      <c r="H7" s="2"/>
      <c r="I7" s="2"/>
      <c r="J7" s="2"/>
      <c r="K7" s="2"/>
      <c r="L7" s="2"/>
      <c r="M7" s="2"/>
    </row>
    <row r="8" spans="1:13" ht="28">
      <c r="A8" s="3" t="s">
        <v>445</v>
      </c>
      <c r="B8" s="3" t="s">
        <v>446</v>
      </c>
      <c r="C8" s="3" t="s">
        <v>447</v>
      </c>
      <c r="D8" s="3" t="s">
        <v>448</v>
      </c>
      <c r="E8" s="3" t="s">
        <v>449</v>
      </c>
      <c r="F8" s="3" t="s">
        <v>25</v>
      </c>
      <c r="G8" s="3"/>
      <c r="H8" s="2"/>
      <c r="I8" s="2"/>
      <c r="J8" s="2"/>
      <c r="K8" s="2"/>
      <c r="L8" s="2"/>
      <c r="M8" s="2"/>
    </row>
    <row r="9" spans="1:13" ht="28">
      <c r="A9" s="3" t="s">
        <v>450</v>
      </c>
      <c r="B9" s="3" t="s">
        <v>451</v>
      </c>
      <c r="C9" s="3" t="s">
        <v>452</v>
      </c>
      <c r="D9" s="3" t="s">
        <v>453</v>
      </c>
      <c r="E9" s="3" t="s">
        <v>454</v>
      </c>
      <c r="F9" s="3" t="s">
        <v>25</v>
      </c>
      <c r="G9" s="3"/>
      <c r="H9" s="2"/>
      <c r="I9" s="2"/>
      <c r="J9" s="2"/>
      <c r="K9" s="2"/>
      <c r="L9" s="2"/>
      <c r="M9" s="2"/>
    </row>
    <row r="10" spans="1:13" ht="28">
      <c r="A10" s="3" t="s">
        <v>455</v>
      </c>
      <c r="B10" s="3" t="s">
        <v>456</v>
      </c>
      <c r="C10" s="3" t="s">
        <v>457</v>
      </c>
      <c r="D10" s="3" t="s">
        <v>458</v>
      </c>
      <c r="E10" s="3" t="s">
        <v>459</v>
      </c>
      <c r="F10" s="3" t="s">
        <v>25</v>
      </c>
      <c r="G10" s="3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6" t="s">
        <v>460</v>
      </c>
      <c r="B12" s="6"/>
      <c r="C12" s="6"/>
      <c r="D12" s="6"/>
      <c r="E12" s="6"/>
      <c r="F12" s="6"/>
      <c r="G12" s="6"/>
      <c r="H12" s="2"/>
      <c r="I12" s="2"/>
      <c r="J12" s="2"/>
      <c r="K12" s="2"/>
      <c r="L12" s="2"/>
      <c r="M12" s="2"/>
    </row>
    <row r="13" spans="1:13">
      <c r="A13" s="1" t="s">
        <v>461</v>
      </c>
      <c r="B13" s="1" t="s">
        <v>375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42">
      <c r="A14" s="3" t="s">
        <v>462</v>
      </c>
      <c r="B14" s="3" t="s">
        <v>463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42">
      <c r="A15" s="3" t="s">
        <v>464</v>
      </c>
      <c r="B15" s="3" t="s">
        <v>465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28">
      <c r="A16" s="3" t="s">
        <v>466</v>
      </c>
      <c r="B16" s="3" t="s">
        <v>467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8">
      <c r="A17" s="3" t="s">
        <v>468</v>
      </c>
      <c r="B17" s="3" t="s">
        <v>469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28">
      <c r="A18" s="3" t="s">
        <v>380</v>
      </c>
      <c r="B18" s="3" t="s">
        <v>470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56">
      <c r="A19" s="3" t="s">
        <v>471</v>
      </c>
      <c r="B19" s="3" t="s">
        <v>472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28">
      <c r="A20" s="3" t="s">
        <v>211</v>
      </c>
      <c r="B20" s="3" t="s">
        <v>473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28">
      <c r="A21" s="3" t="s">
        <v>474</v>
      </c>
      <c r="B21" s="3" t="s">
        <v>475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8">
      <c r="A22" s="3" t="s">
        <v>476</v>
      </c>
      <c r="B22" s="3" t="s">
        <v>477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28">
      <c r="A23" s="3" t="s">
        <v>478</v>
      </c>
      <c r="B23" s="3" t="s">
        <v>479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</sheetData>
  <mergeCells count="2">
    <mergeCell ref="A1:G1"/>
    <mergeCell ref="A12:G12"/>
  </mergeCells>
  <conditionalFormatting sqref="F4:F10">
    <cfRule type="expression" dxfId="1" priority="1">
      <formula>F4="Done"</formula>
    </cfRule>
    <cfRule type="expression" dxfId="0" priority="2">
      <formula>F4="Blocked"</formula>
    </cfRule>
  </conditionalFormatting>
  <dataValidations count="1">
    <dataValidation type="list" sqref="F4:F10" xr:uid="{00000000-0002-0000-0300-000000000000}">
      <formula1>"Not Started,In Progress,Blocked,Done"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/>
  </sheetViews>
  <sheetFormatPr defaultRowHeight="14"/>
  <cols>
    <col min="1" max="1" width="28" customWidth="1"/>
    <col min="2" max="2" width="70" customWidth="1"/>
    <col min="4" max="4" width="22" customWidth="1"/>
    <col min="5" max="5" width="14" customWidth="1"/>
  </cols>
  <sheetData>
    <row r="1" spans="1:13" ht="20">
      <c r="A1" s="4" t="s">
        <v>480</v>
      </c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481</v>
      </c>
      <c r="B3" s="1" t="s">
        <v>482</v>
      </c>
      <c r="C3" s="2"/>
      <c r="D3" s="1" t="s">
        <v>483</v>
      </c>
      <c r="E3" s="1" t="s">
        <v>484</v>
      </c>
      <c r="F3" s="2"/>
      <c r="G3" s="2"/>
      <c r="H3" s="2"/>
      <c r="I3" s="2"/>
      <c r="J3" s="2"/>
      <c r="K3" s="2"/>
      <c r="L3" s="2"/>
      <c r="M3" s="2"/>
    </row>
    <row r="4" spans="1:13">
      <c r="A4" s="3" t="s">
        <v>485</v>
      </c>
      <c r="B4" s="3" t="s">
        <v>486</v>
      </c>
      <c r="C4" s="2"/>
      <c r="D4" s="2" t="s">
        <v>487</v>
      </c>
      <c r="E4" s="2">
        <f>COUNTA('Implementation Tracker'!A5:A39)</f>
        <v>35</v>
      </c>
      <c r="F4" s="2"/>
      <c r="G4" s="2"/>
      <c r="H4" s="2"/>
      <c r="I4" s="2"/>
      <c r="J4" s="2"/>
      <c r="K4" s="2"/>
      <c r="L4" s="2"/>
      <c r="M4" s="2"/>
    </row>
    <row r="5" spans="1:13">
      <c r="A5" s="3" t="s">
        <v>488</v>
      </c>
      <c r="B5" s="3" t="s">
        <v>489</v>
      </c>
      <c r="C5" s="2"/>
      <c r="D5" s="2" t="s">
        <v>490</v>
      </c>
      <c r="E5" s="2">
        <f>COUNTIF('Implementation Tracker'!D5:D39,"High")</f>
        <v>26</v>
      </c>
      <c r="F5" s="2"/>
      <c r="G5" s="2"/>
      <c r="H5" s="2"/>
      <c r="I5" s="2"/>
      <c r="J5" s="2"/>
      <c r="K5" s="2"/>
      <c r="L5" s="2"/>
      <c r="M5" s="2"/>
    </row>
    <row r="6" spans="1:13" ht="28">
      <c r="A6" s="3" t="s">
        <v>491</v>
      </c>
      <c r="B6" s="3" t="s">
        <v>492</v>
      </c>
      <c r="C6" s="2"/>
      <c r="D6" s="2" t="s">
        <v>493</v>
      </c>
      <c r="E6" s="2">
        <f>COUNTIF('Implementation Tracker'!C5:C39,"React")</f>
        <v>8</v>
      </c>
      <c r="F6" s="2"/>
      <c r="G6" s="2"/>
      <c r="H6" s="2"/>
      <c r="I6" s="2"/>
      <c r="J6" s="2"/>
      <c r="K6" s="2"/>
      <c r="L6" s="2"/>
      <c r="M6" s="2"/>
    </row>
    <row r="7" spans="1:13">
      <c r="A7" s="3" t="s">
        <v>494</v>
      </c>
      <c r="B7" s="3" t="s">
        <v>495</v>
      </c>
      <c r="C7" s="2"/>
      <c r="D7" s="2" t="s">
        <v>496</v>
      </c>
      <c r="E7" s="2">
        <f>COUNTIF('Implementation Tracker'!C5:C39,"FastAPI")</f>
        <v>7</v>
      </c>
      <c r="F7" s="2"/>
      <c r="G7" s="2"/>
      <c r="H7" s="2"/>
      <c r="I7" s="2"/>
      <c r="J7" s="2"/>
      <c r="K7" s="2"/>
      <c r="L7" s="2"/>
      <c r="M7" s="2"/>
    </row>
    <row r="8" spans="1:13">
      <c r="A8" s="3" t="s">
        <v>497</v>
      </c>
      <c r="B8" s="3" t="s">
        <v>498</v>
      </c>
      <c r="C8" s="2"/>
      <c r="D8" s="2" t="s">
        <v>499</v>
      </c>
      <c r="E8" s="2">
        <f>COUNTIF('Implementation Tracker'!B5:B39,"Dashboards")</f>
        <v>4</v>
      </c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1" t="s">
        <v>12</v>
      </c>
      <c r="E10" s="1" t="s">
        <v>500</v>
      </c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 t="s">
        <v>25</v>
      </c>
      <c r="E11" s="2">
        <f>COUNTIF('Implementation Tracker'!K5:K39,D11)</f>
        <v>35</v>
      </c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 t="s">
        <v>501</v>
      </c>
      <c r="E12" s="2">
        <f>COUNTIF('Implementation Tracker'!K5:K39,D12)</f>
        <v>0</v>
      </c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 t="s">
        <v>502</v>
      </c>
      <c r="E13" s="2">
        <f>COUNTIF('Implementation Tracker'!K5:K39,D13)</f>
        <v>0</v>
      </c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 t="s">
        <v>503</v>
      </c>
      <c r="E14" s="2">
        <f>COUNTIF('Implementation Tracker'!K5:K39,D14)</f>
        <v>0</v>
      </c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Implementation Tracker</vt:lpstr>
      <vt:lpstr>Telemetry Contract</vt:lpstr>
      <vt:lpstr>Dashboard Plan</vt:lpstr>
      <vt:lpstr>Milestones &amp; DoD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Dhaval Mistry</cp:lastModifiedBy>
  <dcterms:modified xsi:type="dcterms:W3CDTF">2026-10-06T14:36:54Z</dcterms:modified>
</cp:coreProperties>
</file>